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dedee\Downloads\"/>
    </mc:Choice>
  </mc:AlternateContent>
  <xr:revisionPtr revIDLastSave="0" documentId="8_{71626789-14BF-4C02-A425-BF136C635FC7}" xr6:coauthVersionLast="47" xr6:coauthVersionMax="47" xr10:uidLastSave="{00000000-0000-0000-0000-000000000000}"/>
  <bookViews>
    <workbookView xWindow="-110" yWindow="-110" windowWidth="19420" windowHeight="11500" firstSheet="3" activeTab="10" xr2:uid="{E518DF96-7792-43F7-93BA-00B16465858E}"/>
  </bookViews>
  <sheets>
    <sheet name="Profit by Product" sheetId="3" state="hidden" r:id="rId1"/>
    <sheet name="Margin % by Product" sheetId="4" state="hidden" r:id="rId2"/>
    <sheet name="Profit Change" sheetId="5" state="hidden" r:id="rId3"/>
    <sheet name="DASHBOARD" sheetId="6" r:id="rId4"/>
    <sheet name="Sheet4" sheetId="13" state="hidden" r:id="rId5"/>
    <sheet name="Sheet1" sheetId="8" state="hidden" r:id="rId6"/>
    <sheet name="Detail1" sheetId="9" state="hidden" r:id="rId7"/>
    <sheet name="Detail2" sheetId="10" state="hidden" r:id="rId8"/>
    <sheet name="kpi vALUES" sheetId="7" state="hidden" r:id="rId9"/>
    <sheet name="Sheet3" sheetId="12" state="hidden" r:id="rId10"/>
    <sheet name="Data" sheetId="1" r:id="rId11"/>
    <sheet name="summary" sheetId="2" r:id="rId12"/>
  </sheets>
  <definedNames>
    <definedName name="Slicer_Period">#N/A</definedName>
    <definedName name="Slicer_Product">#N/A</definedName>
  </definedNames>
  <calcPr calcId="191029"/>
  <pivotCaches>
    <pivotCache cacheId="5"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0" l="1"/>
  <c r="F5" i="10"/>
  <c r="F6" i="10"/>
  <c r="F7" i="10"/>
  <c r="F8" i="10"/>
  <c r="F9" i="10"/>
  <c r="F10" i="10"/>
  <c r="F11" i="10"/>
  <c r="F4" i="10"/>
  <c r="H3" i="2"/>
  <c r="H4" i="2"/>
  <c r="H5" i="2"/>
  <c r="H2" i="2"/>
  <c r="G3" i="2"/>
  <c r="G4" i="2"/>
  <c r="G5" i="2"/>
  <c r="G2" i="2"/>
  <c r="D3" i="2"/>
  <c r="D4" i="2"/>
  <c r="D5" i="2"/>
  <c r="D2" i="2"/>
  <c r="F3" i="1"/>
  <c r="F4" i="1"/>
  <c r="F5" i="1"/>
  <c r="F6" i="1"/>
  <c r="F7" i="1"/>
  <c r="F8" i="1"/>
  <c r="F9" i="1"/>
  <c r="E3" i="1"/>
  <c r="E4" i="1"/>
  <c r="E5" i="1"/>
  <c r="E6" i="1"/>
  <c r="E7" i="1"/>
  <c r="E8" i="1"/>
  <c r="E9" i="1"/>
  <c r="F2" i="1"/>
  <c r="E2" i="1"/>
</calcChain>
</file>

<file path=xl/sharedStrings.xml><?xml version="1.0" encoding="utf-8"?>
<sst xmlns="http://schemas.openxmlformats.org/spreadsheetml/2006/main" count="121" uniqueCount="28">
  <si>
    <t>Product</t>
  </si>
  <si>
    <t>Revenue</t>
  </si>
  <si>
    <t>Cost</t>
  </si>
  <si>
    <t>A</t>
  </si>
  <si>
    <t>B</t>
  </si>
  <si>
    <t>C</t>
  </si>
  <si>
    <t>D</t>
  </si>
  <si>
    <t>Period</t>
  </si>
  <si>
    <t>Old</t>
  </si>
  <si>
    <t>New</t>
  </si>
  <si>
    <t>profit</t>
  </si>
  <si>
    <t>margin%</t>
  </si>
  <si>
    <t>Old Revenue</t>
  </si>
  <si>
    <t>New Revenue</t>
  </si>
  <si>
    <t>Revenue Change</t>
  </si>
  <si>
    <t>Old Cost</t>
  </si>
  <si>
    <t>New Cost</t>
  </si>
  <si>
    <t>Cost Change</t>
  </si>
  <si>
    <t>Profit Change</t>
  </si>
  <si>
    <t>Row Labels</t>
  </si>
  <si>
    <t>Grand Total</t>
  </si>
  <si>
    <t>Sum of profit</t>
  </si>
  <si>
    <t>Average of margin%</t>
  </si>
  <si>
    <t>Sum of Revenue</t>
  </si>
  <si>
    <t>Sum of Profit Change</t>
  </si>
  <si>
    <t>Details for Average of margin%</t>
  </si>
  <si>
    <t>Sum of Field1</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</si>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</sst>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0" fillId="0" borderId="0" xfId="0" applyAlignment="1">
      <alignment horizontal="left" indent="1"/>
    </xf>
    <xf numFmtId="0" fontId="0" fillId="0" borderId="0" xfId="0" applyAlignment="1">
      <alignment horizontal="center"/>
    </xf>
    <xf numFmtId="0" fontId="1" fillId="0" borderId="0" xfId="0" applyFont="1"/>
    <xf numFmtId="0" fontId="0" fillId="0" borderId="0" xfId="0" applyNumberFormat="1"/>
  </cellXfs>
  <cellStyles count="1">
    <cellStyle name="Normal" xfId="0" builtinId="0"/>
  </cellStyles>
  <dxfs count="21">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4" formatCode="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4" formatCode="0.0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[cost_optimization.xlsx]Margin % by Product!PivotTable2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'Margin %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'Margin % by Product'!$A$4:$A$8</c:f>
              <c:strCache>
                <c:ptCount val="4"/>
                <c:pt idx="0">
                  <c:v>A</c:v>
                </c:pt>
                <c:pt idx="1">
                  <c:v>B</c:v>
                </c:pt>
                <c:pt idx="2">
                  <c:v>C</c:v>
                </c:pt>
                <c:pt idx="3">
                  <c:v>D</c:v>
                </c:pt>
              </c:strCache>
            </c:strRef>
          </c:cat>
          <c:val>
            <c:numRef>
              <c:f>'Margin % by Product'!$B$4:$B$8</c:f>
              <c:numCache>
                <c:formatCode>General</c:formatCode>
                <c:ptCount val="4"/>
                <c:pt idx="0">
                  <c:v>0.26190476190476192</c:v>
                </c:pt>
                <c:pt idx="1">
                  <c:v>0.12962962962962962</c:v>
                </c:pt>
                <c:pt idx="2">
                  <c:v>0.21621621621621623</c:v>
                </c:pt>
                <c:pt idx="3">
                  <c:v>0.36363636363636365</c:v>
                </c:pt>
              </c:numCache>
            </c:numRef>
          </c:val>
          <c:extLst>
            <c:ext xmlns:c16="http://schemas.microsoft.com/office/drawing/2014/chart" uri="{C3380CC4-5D6E-409C-BE32-E72D297353CC}">
              <c16:uniqueId val="{00000000-D8F8-4790-9B32-6DEFCFDDF9C2}"/>
            </c:ext>
          </c:extLst>
        </c:ser>
        <c:dLbls>
          <c:dLblPos val="outEnd"/>
          <c:showLegendKey val="0"/>
          <c:showVal val="1"/>
          <c:showCatName val="0"/>
          <c:showSerName val="0"/>
          <c:showPercent val="0"/>
          <c:showBubbleSize val="0"/>
        </c:dLbls>
        <c:gapWidth val="219"/>
        <c:overlap val="-27"/>
        <c:axId val="1988033680"/>
        <c:axId val="1540383824"/>
      </c:barChart>
      <c:catAx>
        <c:axId val="19880336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83824"/>
        <c:crosses val="autoZero"/>
        <c:auto val="1"/>
        <c:lblAlgn val="ctr"/>
        <c:lblOffset val="100"/>
        <c:noMultiLvlLbl val="0"/>
      </c:catAx>
      <c:valAx>
        <c:axId val="15403838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3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[cost_optimization.xlsx]Profit by Product!PivotTable1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Profit by Product</a:t>
            </a:r>
          </a:p>
        </c:rich>
      </c:tx>
      <c:layout>
        <c:manualLayout>
          <c:xMode val="edge"/>
          <c:yMode val="edge"/>
          <c:x val="0.12309340247161711"/>
          <c:y val="3.789472427858291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Product'!$B$3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'Profit by Product'!$A$4:$A$8</c:f>
              <c:strCache>
                <c:ptCount val="4"/>
                <c:pt idx="0">
                  <c:v>A</c:v>
                </c:pt>
                <c:pt idx="1">
                  <c:v>B</c:v>
                </c:pt>
                <c:pt idx="2">
                  <c:v>C</c:v>
                </c:pt>
                <c:pt idx="3">
                  <c:v>D</c:v>
                </c:pt>
              </c:strCache>
            </c:strRef>
          </c:cat>
          <c:val>
            <c:numRef>
              <c:f>'Profit by Product'!$B$4:$B$8</c:f>
              <c:numCache>
                <c:formatCode>General</c:formatCode>
                <c:ptCount val="4"/>
                <c:pt idx="0">
                  <c:v>55000</c:v>
                </c:pt>
                <c:pt idx="1">
                  <c:v>35000</c:v>
                </c:pt>
                <c:pt idx="2">
                  <c:v>40000</c:v>
                </c:pt>
                <c:pt idx="3">
                  <c:v>60000</c:v>
                </c:pt>
              </c:numCache>
            </c:numRef>
          </c:val>
          <c:extLst>
            <c:ext xmlns:c16="http://schemas.microsoft.com/office/drawing/2014/chart" uri="{C3380CC4-5D6E-409C-BE32-E72D297353CC}">
              <c16:uniqueId val="{00000000-B9A0-4D77-96FD-DFFCE66E5106}"/>
            </c:ext>
          </c:extLst>
        </c:ser>
        <c:dLbls>
          <c:dLblPos val="outEnd"/>
          <c:showLegendKey val="0"/>
          <c:showVal val="1"/>
          <c:showCatName val="0"/>
          <c:showSerName val="0"/>
          <c:showPercent val="0"/>
          <c:showBubbleSize val="0"/>
        </c:dLbls>
        <c:gapWidth val="315"/>
        <c:overlap val="-40"/>
        <c:axId val="870765455"/>
        <c:axId val="870765935"/>
      </c:barChart>
      <c:catAx>
        <c:axId val="8707654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0765935"/>
        <c:crosses val="autoZero"/>
        <c:auto val="1"/>
        <c:lblAlgn val="ctr"/>
        <c:lblOffset val="100"/>
        <c:noMultiLvlLbl val="0"/>
      </c:catAx>
      <c:valAx>
        <c:axId val="870765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076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[cost_optimization.xlsx]Margin % by Product!PivotTable2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Margin % by Product</a:t>
            </a:r>
          </a:p>
        </c:rich>
      </c:tx>
      <c:layout>
        <c:manualLayout>
          <c:xMode val="edge"/>
          <c:yMode val="edge"/>
          <c:x val="0.25869778396041437"/>
          <c:y val="1.052496841675755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dLbl>
          <c:idx val="0"/>
          <c:layout>
            <c:manualLayout>
              <c:x val="5.8441561429673867E-3"/>
              <c:y val="0.112110702207295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6159230096238"/>
          <c:y val="0.17171296296296298"/>
          <c:w val="0.85334951881014875"/>
          <c:h val="0.62271617089530473"/>
        </c:manualLayout>
      </c:layout>
      <c:barChart>
        <c:barDir val="col"/>
        <c:grouping val="clustered"/>
        <c:varyColors val="0"/>
        <c:ser>
          <c:idx val="0"/>
          <c:order val="0"/>
          <c:tx>
            <c:strRef>
              <c:f>'Margin % by Product'!$B$3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Lbl>
              <c:idx val="3"/>
              <c:layout>
                <c:manualLayout>
                  <c:x val="5.8441561429673867E-3"/>
                  <c:y val="0.112110702207295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44-415F-8BE0-58A2A44722E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'Margin % by Product'!$A$4:$A$8</c:f>
              <c:strCache>
                <c:ptCount val="4"/>
                <c:pt idx="0">
                  <c:v>A</c:v>
                </c:pt>
                <c:pt idx="1">
                  <c:v>B</c:v>
                </c:pt>
                <c:pt idx="2">
                  <c:v>C</c:v>
                </c:pt>
                <c:pt idx="3">
                  <c:v>D</c:v>
                </c:pt>
              </c:strCache>
            </c:strRef>
          </c:cat>
          <c:val>
            <c:numRef>
              <c:f>'Margin % by Product'!$B$4:$B$8</c:f>
              <c:numCache>
                <c:formatCode>General</c:formatCode>
                <c:ptCount val="4"/>
                <c:pt idx="0">
                  <c:v>0.26190476190476192</c:v>
                </c:pt>
                <c:pt idx="1">
                  <c:v>0.12962962962962962</c:v>
                </c:pt>
                <c:pt idx="2">
                  <c:v>0.21621621621621623</c:v>
                </c:pt>
                <c:pt idx="3">
                  <c:v>0.36363636363636365</c:v>
                </c:pt>
              </c:numCache>
            </c:numRef>
          </c:val>
          <c:extLst>
            <c:ext xmlns:c16="http://schemas.microsoft.com/office/drawing/2014/chart" uri="{C3380CC4-5D6E-409C-BE32-E72D297353CC}">
              <c16:uniqueId val="{00000000-36BE-4A26-ABDC-0925327C3052}"/>
            </c:ext>
          </c:extLst>
        </c:ser>
        <c:dLbls>
          <c:dLblPos val="outEnd"/>
          <c:showLegendKey val="0"/>
          <c:showVal val="1"/>
          <c:showCatName val="0"/>
          <c:showSerName val="0"/>
          <c:showPercent val="0"/>
          <c:showBubbleSize val="0"/>
        </c:dLbls>
        <c:gapWidth val="315"/>
        <c:overlap val="-40"/>
        <c:axId val="945968527"/>
        <c:axId val="945969007"/>
      </c:barChart>
      <c:catAx>
        <c:axId val="9459685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5969007"/>
        <c:crosses val="autoZero"/>
        <c:auto val="1"/>
        <c:lblAlgn val="ctr"/>
        <c:lblOffset val="100"/>
        <c:noMultiLvlLbl val="0"/>
      </c:catAx>
      <c:valAx>
        <c:axId val="9459690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596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[cost_optimization.xlsx]Sheet1!PivotTable1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b="1"/>
              <a:t>Profit Comparison (Old vs New)</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204019636434334E-2"/>
              <c:y val="1.157407407407407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9.1496792067658192E-2"/>
                  <c:h val="0.11567147856517936"/>
                </c:manualLayout>
              </c15:layout>
            </c:ext>
          </c:extLst>
        </c:dLbl>
      </c:pivotFmt>
      <c:pivotFmt>
        <c:idx val="3"/>
        <c:dLbl>
          <c:idx val="0"/>
          <c:layout>
            <c:manualLayout>
              <c:x val="4.4217687074829808E-2"/>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0204019636434334E-2"/>
              <c:y val="1.157407407407407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9.1496792067658192E-2"/>
                  <c:h val="0.11567147856517936"/>
                </c:manualLayout>
              </c15:layout>
            </c:ext>
          </c:extLst>
        </c:dLbl>
      </c:pivotFmt>
      <c:pivotFmt>
        <c:idx val="7"/>
        <c:dLbl>
          <c:idx val="0"/>
          <c:layout>
            <c:manualLayout>
              <c:x val="4.4217687074829808E-2"/>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dLbl>
          <c:idx val="0"/>
          <c:layout>
            <c:manualLayout>
              <c:x val="1.0204019636434334E-2"/>
              <c:y val="1.1574074074074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dLbl>
          <c:idx val="0"/>
          <c:layout>
            <c:manualLayout>
              <c:x val="4.421768707482980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5"/>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0-FAAE-45B0-B162-89B6FAA3FC47}"/>
              </c:ext>
            </c:extLst>
          </c:dPt>
          <c:dPt>
            <c:idx val="6"/>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FAAE-45B0-B162-89B6FAA3FC47}"/>
              </c:ext>
            </c:extLst>
          </c:dPt>
          <c:dPt>
            <c:idx val="7"/>
            <c:invertIfNegative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2-FAAE-45B0-B162-89B6FAA3FC47}"/>
              </c:ext>
            </c:extLst>
          </c:dPt>
          <c:dLbls>
            <c:dLbl>
              <c:idx val="5"/>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AE-45B0-B162-89B6FAA3FC47}"/>
                </c:ext>
              </c:extLst>
            </c:dLbl>
            <c:dLbl>
              <c:idx val="6"/>
              <c:layout>
                <c:manualLayout>
                  <c:x val="1.0204019636434334E-2"/>
                  <c:y val="1.15740740740740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AE-45B0-B162-89B6FAA3FC47}"/>
                </c:ext>
              </c:extLst>
            </c:dLbl>
            <c:dLbl>
              <c:idx val="7"/>
              <c:layout>
                <c:manualLayout>
                  <c:x val="4.4217687074829808E-2"/>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AE-45B0-B162-89B6FAA3FC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Sheet1!$A$3:$A$15</c:f>
              <c:multiLvlStrCache>
                <c:ptCount val="8"/>
                <c:lvl>
                  <c:pt idx="0">
                    <c:v>New</c:v>
                  </c:pt>
                  <c:pt idx="1">
                    <c:v>Old</c:v>
                  </c:pt>
                  <c:pt idx="2">
                    <c:v>New</c:v>
                  </c:pt>
                  <c:pt idx="3">
                    <c:v>Old</c:v>
                  </c:pt>
                  <c:pt idx="4">
                    <c:v>New</c:v>
                  </c:pt>
                  <c:pt idx="5">
                    <c:v>Old</c:v>
                  </c:pt>
                  <c:pt idx="6">
                    <c:v>New</c:v>
                  </c:pt>
                  <c:pt idx="7">
                    <c:v>Old</c:v>
                  </c:pt>
                </c:lvl>
                <c:lvl>
                  <c:pt idx="0">
                    <c:v>A</c:v>
                  </c:pt>
                  <c:pt idx="2">
                    <c:v>B</c:v>
                  </c:pt>
                  <c:pt idx="4">
                    <c:v>C</c:v>
                  </c:pt>
                  <c:pt idx="6">
                    <c:v>D</c:v>
                  </c:pt>
                </c:lvl>
              </c:multiLvlStrCache>
            </c:multiLvlStrRef>
          </c:cat>
          <c:val>
            <c:numRef>
              <c:f>Sheet1!$B$3:$B$15</c:f>
              <c:numCache>
                <c:formatCode>General</c:formatCode>
                <c:ptCount val="8"/>
                <c:pt idx="0">
                  <c:v>25000</c:v>
                </c:pt>
                <c:pt idx="1">
                  <c:v>30000</c:v>
                </c:pt>
                <c:pt idx="2">
                  <c:v>5000</c:v>
                </c:pt>
                <c:pt idx="3">
                  <c:v>30000</c:v>
                </c:pt>
                <c:pt idx="4">
                  <c:v>10000</c:v>
                </c:pt>
                <c:pt idx="5">
                  <c:v>30000</c:v>
                </c:pt>
                <c:pt idx="6">
                  <c:v>30000</c:v>
                </c:pt>
                <c:pt idx="7">
                  <c:v>30000</c:v>
                </c:pt>
              </c:numCache>
            </c:numRef>
          </c:val>
          <c:extLst>
            <c:ext xmlns:c16="http://schemas.microsoft.com/office/drawing/2014/chart" uri="{C3380CC4-5D6E-409C-BE32-E72D297353CC}">
              <c16:uniqueId val="{00000003-FAAE-45B0-B162-89B6FAA3FC47}"/>
            </c:ext>
          </c:extLst>
        </c:ser>
        <c:dLbls>
          <c:dLblPos val="outEnd"/>
          <c:showLegendKey val="0"/>
          <c:showVal val="1"/>
          <c:showCatName val="0"/>
          <c:showSerName val="0"/>
          <c:showPercent val="0"/>
          <c:showBubbleSize val="0"/>
        </c:dLbls>
        <c:gapWidth val="315"/>
        <c:overlap val="-40"/>
        <c:axId val="455204160"/>
        <c:axId val="455209440"/>
      </c:barChart>
      <c:catAx>
        <c:axId val="455204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5209440"/>
        <c:crosses val="autoZero"/>
        <c:auto val="1"/>
        <c:lblAlgn val="ctr"/>
        <c:lblOffset val="100"/>
        <c:noMultiLvlLbl val="0"/>
      </c:catAx>
      <c:valAx>
        <c:axId val="455209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520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447675</xdr:colOff>
      <xdr:row>4</xdr:row>
      <xdr:rowOff>98425</xdr:rowOff>
    </xdr:from>
    <xdr:to>
      <xdr:col>12</xdr:col>
      <xdr:colOff>142875</xdr:colOff>
      <xdr:row>19</xdr:row>
      <xdr:rowOff>79375</xdr:rowOff>
    </xdr:to>
    <xdr:graphicFrame macro="">
      <xdr:nvGraphicFramePr>
        <xdr:cNvPr id="2" name="Chart 1">
          <a:extLst>
            <a:ext uri="{FF2B5EF4-FFF2-40B4-BE49-F238E27FC236}">
              <a16:creationId xmlns:a16="http://schemas.microsoft.com/office/drawing/2014/main" id="{46876A89-D424-C887-0410-902BD3889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14111</xdr:colOff>
      <xdr:row>0</xdr:row>
      <xdr:rowOff>49389</xdr:rowOff>
    </xdr:from>
    <xdr:ext cx="5750278" cy="1121833"/>
    <xdr:sp macro="" textlink="">
      <xdr:nvSpPr>
        <xdr:cNvPr id="2" name="TextBox 1">
          <a:extLst>
            <a:ext uri="{FF2B5EF4-FFF2-40B4-BE49-F238E27FC236}">
              <a16:creationId xmlns:a16="http://schemas.microsoft.com/office/drawing/2014/main" id="{B3567662-95E4-5916-E1BA-23A253C252DA}"/>
            </a:ext>
          </a:extLst>
        </xdr:cNvPr>
        <xdr:cNvSpPr txBox="1"/>
      </xdr:nvSpPr>
      <xdr:spPr>
        <a:xfrm>
          <a:off x="599722" y="49389"/>
          <a:ext cx="5750278" cy="1121833"/>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wrap="square" rtlCol="0" anchor="t">
          <a:noAutofit/>
        </a:bodyPr>
        <a:lstStyle/>
        <a:p>
          <a:pPr algn="ctr"/>
          <a:r>
            <a:rPr lang="en-IN" sz="3200" b="1"/>
            <a:t>Profitability Analysis &amp; Cost Optimization Dashboard</a:t>
          </a:r>
        </a:p>
      </xdr:txBody>
    </xdr:sp>
    <xdr:clientData/>
  </xdr:oneCellAnchor>
  <xdr:twoCellAnchor>
    <xdr:from>
      <xdr:col>10</xdr:col>
      <xdr:colOff>359832</xdr:colOff>
      <xdr:row>0</xdr:row>
      <xdr:rowOff>63500</xdr:rowOff>
    </xdr:from>
    <xdr:to>
      <xdr:col>12</xdr:col>
      <xdr:colOff>571499</xdr:colOff>
      <xdr:row>6</xdr:row>
      <xdr:rowOff>63500</xdr:rowOff>
    </xdr:to>
    <xdr:sp macro="" textlink="">
      <xdr:nvSpPr>
        <xdr:cNvPr id="4" name="Rectangle 3">
          <a:extLst>
            <a:ext uri="{FF2B5EF4-FFF2-40B4-BE49-F238E27FC236}">
              <a16:creationId xmlns:a16="http://schemas.microsoft.com/office/drawing/2014/main" id="{3BD624EC-6391-4C38-A421-B5FB54C2EFD8}"/>
            </a:ext>
          </a:extLst>
        </xdr:cNvPr>
        <xdr:cNvSpPr/>
      </xdr:nvSpPr>
      <xdr:spPr>
        <a:xfrm>
          <a:off x="6406443" y="63500"/>
          <a:ext cx="1425223" cy="110066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35278</xdr:colOff>
      <xdr:row>0</xdr:row>
      <xdr:rowOff>63500</xdr:rowOff>
    </xdr:from>
    <xdr:to>
      <xdr:col>15</xdr:col>
      <xdr:colOff>246945</xdr:colOff>
      <xdr:row>6</xdr:row>
      <xdr:rowOff>63500</xdr:rowOff>
    </xdr:to>
    <xdr:sp macro="" textlink="">
      <xdr:nvSpPr>
        <xdr:cNvPr id="7" name="Rectangle 6">
          <a:extLst>
            <a:ext uri="{FF2B5EF4-FFF2-40B4-BE49-F238E27FC236}">
              <a16:creationId xmlns:a16="http://schemas.microsoft.com/office/drawing/2014/main" id="{B1D8F772-475C-47A8-971F-01A63BDCD5C2}"/>
            </a:ext>
          </a:extLst>
        </xdr:cNvPr>
        <xdr:cNvSpPr/>
      </xdr:nvSpPr>
      <xdr:spPr>
        <a:xfrm>
          <a:off x="7902222" y="63500"/>
          <a:ext cx="1425223" cy="110066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307622</xdr:colOff>
      <xdr:row>0</xdr:row>
      <xdr:rowOff>46566</xdr:rowOff>
    </xdr:from>
    <xdr:to>
      <xdr:col>17</xdr:col>
      <xdr:colOff>519289</xdr:colOff>
      <xdr:row>6</xdr:row>
      <xdr:rowOff>46566</xdr:rowOff>
    </xdr:to>
    <xdr:sp macro="" textlink="">
      <xdr:nvSpPr>
        <xdr:cNvPr id="8" name="Rectangle 7">
          <a:extLst>
            <a:ext uri="{FF2B5EF4-FFF2-40B4-BE49-F238E27FC236}">
              <a16:creationId xmlns:a16="http://schemas.microsoft.com/office/drawing/2014/main" id="{2B63CFCC-26A8-4623-96CC-34B059754165}"/>
            </a:ext>
          </a:extLst>
        </xdr:cNvPr>
        <xdr:cNvSpPr/>
      </xdr:nvSpPr>
      <xdr:spPr>
        <a:xfrm>
          <a:off x="9388122" y="46566"/>
          <a:ext cx="1425223" cy="110066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579966</xdr:colOff>
      <xdr:row>0</xdr:row>
      <xdr:rowOff>50799</xdr:rowOff>
    </xdr:from>
    <xdr:to>
      <xdr:col>20</xdr:col>
      <xdr:colOff>543278</xdr:colOff>
      <xdr:row>6</xdr:row>
      <xdr:rowOff>50799</xdr:rowOff>
    </xdr:to>
    <xdr:sp macro="" textlink="">
      <xdr:nvSpPr>
        <xdr:cNvPr id="9" name="Rectangle 8">
          <a:extLst>
            <a:ext uri="{FF2B5EF4-FFF2-40B4-BE49-F238E27FC236}">
              <a16:creationId xmlns:a16="http://schemas.microsoft.com/office/drawing/2014/main" id="{63BBC3A9-F80F-4C7E-A4B3-AE4C154B4EAA}"/>
            </a:ext>
          </a:extLst>
        </xdr:cNvPr>
        <xdr:cNvSpPr/>
      </xdr:nvSpPr>
      <xdr:spPr>
        <a:xfrm>
          <a:off x="10874022" y="50799"/>
          <a:ext cx="1783645" cy="110066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10</xdr:col>
      <xdr:colOff>416279</xdr:colOff>
      <xdr:row>4</xdr:row>
      <xdr:rowOff>63500</xdr:rowOff>
    </xdr:from>
    <xdr:ext cx="1255888" cy="296333"/>
    <xdr:sp macro="" textlink="">
      <xdr:nvSpPr>
        <xdr:cNvPr id="10" name="TextBox 9">
          <a:extLst>
            <a:ext uri="{FF2B5EF4-FFF2-40B4-BE49-F238E27FC236}">
              <a16:creationId xmlns:a16="http://schemas.microsoft.com/office/drawing/2014/main" id="{567B8EA4-E208-320E-749F-4F417BB6A2C4}"/>
            </a:ext>
          </a:extLst>
        </xdr:cNvPr>
        <xdr:cNvSpPr txBox="1"/>
      </xdr:nvSpPr>
      <xdr:spPr>
        <a:xfrm>
          <a:off x="6462890" y="797278"/>
          <a:ext cx="1255888" cy="296333"/>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wrap="none" rtlCol="0" anchor="t">
          <a:noAutofit/>
        </a:bodyPr>
        <a:lstStyle/>
        <a:p>
          <a:pPr algn="ctr"/>
          <a:r>
            <a:rPr lang="en-IN" b="1"/>
            <a:t>Total Revenue</a:t>
          </a:r>
          <a:endParaRPr lang="en-IN" sz="1100" b="1"/>
        </a:p>
      </xdr:txBody>
    </xdr:sp>
    <xdr:clientData/>
  </xdr:oneCellAnchor>
  <xdr:oneCellAnchor>
    <xdr:from>
      <xdr:col>13</xdr:col>
      <xdr:colOff>134055</xdr:colOff>
      <xdr:row>4</xdr:row>
      <xdr:rowOff>56443</xdr:rowOff>
    </xdr:from>
    <xdr:ext cx="1241779" cy="310446"/>
    <xdr:sp macro="" textlink="">
      <xdr:nvSpPr>
        <xdr:cNvPr id="11" name="TextBox 10">
          <a:extLst>
            <a:ext uri="{FF2B5EF4-FFF2-40B4-BE49-F238E27FC236}">
              <a16:creationId xmlns:a16="http://schemas.microsoft.com/office/drawing/2014/main" id="{B386636E-AC97-30CB-EC0E-CE1E3AABCF63}"/>
            </a:ext>
          </a:extLst>
        </xdr:cNvPr>
        <xdr:cNvSpPr txBox="1"/>
      </xdr:nvSpPr>
      <xdr:spPr>
        <a:xfrm>
          <a:off x="8000999" y="790221"/>
          <a:ext cx="1241779" cy="31044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noAutofit/>
        </a:bodyPr>
        <a:lstStyle/>
        <a:p>
          <a:pPr algn="ctr"/>
          <a:r>
            <a:rPr lang="en-IN" b="1"/>
            <a:t>Total Profit </a:t>
          </a:r>
          <a:endParaRPr lang="en-IN" sz="1100" b="1"/>
        </a:p>
      </xdr:txBody>
    </xdr:sp>
    <xdr:clientData/>
  </xdr:oneCellAnchor>
  <xdr:oneCellAnchor>
    <xdr:from>
      <xdr:col>15</xdr:col>
      <xdr:colOff>402168</xdr:colOff>
      <xdr:row>4</xdr:row>
      <xdr:rowOff>49389</xdr:rowOff>
    </xdr:from>
    <xdr:ext cx="1227665" cy="317500"/>
    <xdr:sp macro="" textlink="">
      <xdr:nvSpPr>
        <xdr:cNvPr id="12" name="TextBox 11">
          <a:extLst>
            <a:ext uri="{FF2B5EF4-FFF2-40B4-BE49-F238E27FC236}">
              <a16:creationId xmlns:a16="http://schemas.microsoft.com/office/drawing/2014/main" id="{62C25BAF-CE3E-870F-00C4-1508DF808FBB}"/>
            </a:ext>
          </a:extLst>
        </xdr:cNvPr>
        <xdr:cNvSpPr txBox="1"/>
      </xdr:nvSpPr>
      <xdr:spPr>
        <a:xfrm>
          <a:off x="9482668" y="783167"/>
          <a:ext cx="1227665" cy="3175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noAutofit/>
        </a:bodyPr>
        <a:lstStyle/>
        <a:p>
          <a:r>
            <a:rPr lang="en-IN" b="1"/>
            <a:t>Average Margin %</a:t>
          </a:r>
          <a:r>
            <a:rPr lang="en-IN"/>
            <a:t> </a:t>
          </a:r>
          <a:endParaRPr lang="en-IN" sz="1100"/>
        </a:p>
      </xdr:txBody>
    </xdr:sp>
    <xdr:clientData/>
  </xdr:oneCellAnchor>
  <xdr:oneCellAnchor>
    <xdr:from>
      <xdr:col>18</xdr:col>
      <xdr:colOff>42334</xdr:colOff>
      <xdr:row>4</xdr:row>
      <xdr:rowOff>84666</xdr:rowOff>
    </xdr:from>
    <xdr:ext cx="1651000" cy="268111"/>
    <xdr:sp macro="" textlink="">
      <xdr:nvSpPr>
        <xdr:cNvPr id="13" name="TextBox 12">
          <a:extLst>
            <a:ext uri="{FF2B5EF4-FFF2-40B4-BE49-F238E27FC236}">
              <a16:creationId xmlns:a16="http://schemas.microsoft.com/office/drawing/2014/main" id="{C48DA7C2-D5A9-9C6D-FCAE-93049136B3F8}"/>
            </a:ext>
          </a:extLst>
        </xdr:cNvPr>
        <xdr:cNvSpPr txBox="1"/>
      </xdr:nvSpPr>
      <xdr:spPr>
        <a:xfrm>
          <a:off x="10943167" y="818444"/>
          <a:ext cx="1651000" cy="26811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b="1"/>
            <a:t>Profit Change</a:t>
          </a:r>
          <a:r>
            <a:rPr lang="en-IN"/>
            <a:t> </a:t>
          </a:r>
        </a:p>
        <a:p>
          <a:endParaRPr lang="en-IN" sz="1100"/>
        </a:p>
      </xdr:txBody>
    </xdr:sp>
    <xdr:clientData/>
  </xdr:oneCellAnchor>
  <xdr:oneCellAnchor>
    <xdr:from>
      <xdr:col>10</xdr:col>
      <xdr:colOff>599722</xdr:colOff>
      <xdr:row>2</xdr:row>
      <xdr:rowOff>162278</xdr:rowOff>
    </xdr:from>
    <xdr:ext cx="931333" cy="254000"/>
    <xdr:sp macro="" textlink="'kpi vALUES'!A3">
      <xdr:nvSpPr>
        <xdr:cNvPr id="14" name="TextBox 13">
          <a:extLst>
            <a:ext uri="{FF2B5EF4-FFF2-40B4-BE49-F238E27FC236}">
              <a16:creationId xmlns:a16="http://schemas.microsoft.com/office/drawing/2014/main" id="{ED3D4979-A10B-69BF-2A36-C1366B32C8E5}"/>
            </a:ext>
          </a:extLst>
        </xdr:cNvPr>
        <xdr:cNvSpPr txBox="1"/>
      </xdr:nvSpPr>
      <xdr:spPr>
        <a:xfrm>
          <a:off x="6646333" y="529167"/>
          <a:ext cx="931333" cy="254000"/>
        </a:xfrm>
        <a:prstGeom prst="rect">
          <a:avLst/>
        </a:prstGeom>
        <a:solidFill>
          <a:schemeClr val="bg1"/>
        </a:solidFill>
        <a:ln>
          <a:solidFill>
            <a:schemeClr val="accent6">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250788D-FC18-400F-9858-910EA06CF188}" type="TxLink">
            <a:rPr lang="en-US" sz="1100" b="0" i="0" u="none" strike="noStrike">
              <a:solidFill>
                <a:srgbClr val="000000"/>
              </a:solidFill>
              <a:latin typeface="Calibri"/>
              <a:ea typeface="Calibri"/>
              <a:cs typeface="Calibri"/>
            </a:rPr>
            <a:pPr/>
            <a:t> 8,30,000.00 </a:t>
          </a:fld>
          <a:endParaRPr lang="en-IN" sz="1100"/>
        </a:p>
      </xdr:txBody>
    </xdr:sp>
    <xdr:clientData/>
  </xdr:oneCellAnchor>
  <xdr:oneCellAnchor>
    <xdr:from>
      <xdr:col>13</xdr:col>
      <xdr:colOff>218724</xdr:colOff>
      <xdr:row>2</xdr:row>
      <xdr:rowOff>176389</xdr:rowOff>
    </xdr:from>
    <xdr:ext cx="952500" cy="239889"/>
    <xdr:sp macro="" textlink="'kpi vALUES'!A7">
      <xdr:nvSpPr>
        <xdr:cNvPr id="15" name="TextBox 14">
          <a:extLst>
            <a:ext uri="{FF2B5EF4-FFF2-40B4-BE49-F238E27FC236}">
              <a16:creationId xmlns:a16="http://schemas.microsoft.com/office/drawing/2014/main" id="{2DE405EC-3047-C42E-2473-74A13D2B0A56}"/>
            </a:ext>
          </a:extLst>
        </xdr:cNvPr>
        <xdr:cNvSpPr txBox="1"/>
      </xdr:nvSpPr>
      <xdr:spPr>
        <a:xfrm>
          <a:off x="8085668" y="543278"/>
          <a:ext cx="952500" cy="239889"/>
        </a:xfrm>
        <a:prstGeom prst="rect">
          <a:avLst/>
        </a:prstGeom>
        <a:solidFill>
          <a:schemeClr val="bg1"/>
        </a:solidFill>
        <a:ln>
          <a:solidFill>
            <a:schemeClr val="accent6">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D24E597-E147-4731-8B15-C87139328714}" type="TxLink">
            <a:rPr lang="en-US" sz="1100" b="0" i="0" u="none" strike="noStrike">
              <a:solidFill>
                <a:srgbClr val="000000"/>
              </a:solidFill>
              <a:latin typeface="Calibri"/>
              <a:ea typeface="Calibri"/>
              <a:cs typeface="Calibri"/>
            </a:rPr>
            <a:pPr/>
            <a:t> 1,90,000.00 </a:t>
          </a:fld>
          <a:endParaRPr lang="en-IN" sz="1100"/>
        </a:p>
      </xdr:txBody>
    </xdr:sp>
    <xdr:clientData/>
  </xdr:oneCellAnchor>
  <xdr:oneCellAnchor>
    <xdr:from>
      <xdr:col>16</xdr:col>
      <xdr:colOff>14112</xdr:colOff>
      <xdr:row>2</xdr:row>
      <xdr:rowOff>176389</xdr:rowOff>
    </xdr:from>
    <xdr:ext cx="606777" cy="232833"/>
    <xdr:sp macro="" textlink="Sheet3!A4">
      <xdr:nvSpPr>
        <xdr:cNvPr id="16" name="TextBox 15">
          <a:extLst>
            <a:ext uri="{FF2B5EF4-FFF2-40B4-BE49-F238E27FC236}">
              <a16:creationId xmlns:a16="http://schemas.microsoft.com/office/drawing/2014/main" id="{149298D2-BE58-D7C1-96E8-25F550E5ABEE}"/>
            </a:ext>
          </a:extLst>
        </xdr:cNvPr>
        <xdr:cNvSpPr txBox="1"/>
      </xdr:nvSpPr>
      <xdr:spPr>
        <a:xfrm>
          <a:off x="9701390" y="543278"/>
          <a:ext cx="606777" cy="232833"/>
        </a:xfrm>
        <a:prstGeom prst="rect">
          <a:avLst/>
        </a:prstGeom>
        <a:solidFill>
          <a:schemeClr val="bg1"/>
        </a:solidFill>
        <a:ln>
          <a:solidFill>
            <a:schemeClr val="accent6">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2EF9240-DEF0-4830-8E1C-3153B386253C}" type="TxLink">
            <a:rPr lang="en-US" sz="1100" b="0" i="0" u="none" strike="noStrike">
              <a:solidFill>
                <a:srgbClr val="000000"/>
              </a:solidFill>
              <a:latin typeface="Calibri"/>
              <a:ea typeface="Calibri"/>
              <a:cs typeface="Calibri"/>
            </a:rPr>
            <a:t>22.89%</a:t>
          </a:fld>
          <a:endParaRPr lang="en-IN" sz="1100"/>
        </a:p>
      </xdr:txBody>
    </xdr:sp>
    <xdr:clientData/>
  </xdr:oneCellAnchor>
  <xdr:oneCellAnchor>
    <xdr:from>
      <xdr:col>18</xdr:col>
      <xdr:colOff>416278</xdr:colOff>
      <xdr:row>3</xdr:row>
      <xdr:rowOff>21167</xdr:rowOff>
    </xdr:from>
    <xdr:ext cx="910167" cy="239889"/>
    <xdr:sp macro="" textlink="'kpi vALUES'!A11">
      <xdr:nvSpPr>
        <xdr:cNvPr id="17" name="TextBox 16">
          <a:extLst>
            <a:ext uri="{FF2B5EF4-FFF2-40B4-BE49-F238E27FC236}">
              <a16:creationId xmlns:a16="http://schemas.microsoft.com/office/drawing/2014/main" id="{BE9DF515-4DB0-1CB7-A627-C9E261748882}"/>
            </a:ext>
          </a:extLst>
        </xdr:cNvPr>
        <xdr:cNvSpPr txBox="1"/>
      </xdr:nvSpPr>
      <xdr:spPr>
        <a:xfrm>
          <a:off x="11317111" y="571500"/>
          <a:ext cx="910167" cy="239889"/>
        </a:xfrm>
        <a:prstGeom prst="rect">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wrap="none" rtlCol="0" anchor="t">
          <a:noAutofit/>
        </a:bodyPr>
        <a:lstStyle/>
        <a:p>
          <a:fld id="{D6BF8EE6-8A9F-4328-BC8B-D382852B4392}" type="TxLink">
            <a:rPr lang="en-US" sz="1100" b="0" i="0" u="none" strike="noStrike">
              <a:solidFill>
                <a:srgbClr val="000000"/>
              </a:solidFill>
              <a:latin typeface="Calibri"/>
              <a:ea typeface="Calibri"/>
              <a:cs typeface="Calibri"/>
            </a:rPr>
            <a:pPr/>
            <a:t> -50,000.00 </a:t>
          </a:fld>
          <a:endParaRPr lang="en-IN" sz="1100"/>
        </a:p>
      </xdr:txBody>
    </xdr:sp>
    <xdr:clientData/>
  </xdr:oneCellAnchor>
  <xdr:twoCellAnchor editAs="oneCell">
    <xdr:from>
      <xdr:col>7</xdr:col>
      <xdr:colOff>162277</xdr:colOff>
      <xdr:row>6</xdr:row>
      <xdr:rowOff>126998</xdr:rowOff>
    </xdr:from>
    <xdr:to>
      <xdr:col>10</xdr:col>
      <xdr:colOff>536222</xdr:colOff>
      <xdr:row>11</xdr:row>
      <xdr:rowOff>119943</xdr:rowOff>
    </xdr:to>
    <mc:AlternateContent xmlns:mc="http://schemas.openxmlformats.org/markup-compatibility/2006" xmlns:a14="http://schemas.microsoft.com/office/drawing/2010/main">
      <mc:Choice Requires="a14">
        <xdr:graphicFrame macro="">
          <xdr:nvGraphicFramePr>
            <xdr:cNvPr id="18" name="Period">
              <a:extLst>
                <a:ext uri="{FF2B5EF4-FFF2-40B4-BE49-F238E27FC236}">
                  <a16:creationId xmlns:a16="http://schemas.microsoft.com/office/drawing/2014/main" id="{64434784-0821-4166-AE83-7F8D54DFCA50}"/>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4388555" y="1227665"/>
              <a:ext cx="2194278" cy="91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599721</xdr:colOff>
      <xdr:row>6</xdr:row>
      <xdr:rowOff>91723</xdr:rowOff>
    </xdr:from>
    <xdr:to>
      <xdr:col>14</xdr:col>
      <xdr:colOff>296334</xdr:colOff>
      <xdr:row>14</xdr:row>
      <xdr:rowOff>63498</xdr:rowOff>
    </xdr:to>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444CF7F4-7B70-4BA2-9336-11D2CA3569E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646332" y="1192390"/>
              <a:ext cx="2123724" cy="1439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112888</xdr:colOff>
      <xdr:row>11</xdr:row>
      <xdr:rowOff>176389</xdr:rowOff>
    </xdr:from>
    <xdr:to>
      <xdr:col>10</xdr:col>
      <xdr:colOff>557388</xdr:colOff>
      <xdr:row>25</xdr:row>
      <xdr:rowOff>155223</xdr:rowOff>
    </xdr:to>
    <xdr:graphicFrame macro="">
      <xdr:nvGraphicFramePr>
        <xdr:cNvPr id="20" name="Chart 19">
          <a:extLst>
            <a:ext uri="{FF2B5EF4-FFF2-40B4-BE49-F238E27FC236}">
              <a16:creationId xmlns:a16="http://schemas.microsoft.com/office/drawing/2014/main" id="{8A4A57F7-51EB-4513-85E4-589543D00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14</xdr:row>
      <xdr:rowOff>112890</xdr:rowOff>
    </xdr:from>
    <xdr:to>
      <xdr:col>14</xdr:col>
      <xdr:colOff>317500</xdr:colOff>
      <xdr:row>25</xdr:row>
      <xdr:rowOff>134057</xdr:rowOff>
    </xdr:to>
    <xdr:graphicFrame macro="">
      <xdr:nvGraphicFramePr>
        <xdr:cNvPr id="21" name="Chart 20">
          <a:extLst>
            <a:ext uri="{FF2B5EF4-FFF2-40B4-BE49-F238E27FC236}">
              <a16:creationId xmlns:a16="http://schemas.microsoft.com/office/drawing/2014/main" id="{E2C149D7-43F2-411B-B1F7-3946B512A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359834</xdr:colOff>
      <xdr:row>6</xdr:row>
      <xdr:rowOff>105833</xdr:rowOff>
    </xdr:from>
    <xdr:ext cx="3802944" cy="3527778"/>
    <xdr:sp macro="" textlink="">
      <xdr:nvSpPr>
        <xdr:cNvPr id="23" name="TextBox 22">
          <a:extLst>
            <a:ext uri="{FF2B5EF4-FFF2-40B4-BE49-F238E27FC236}">
              <a16:creationId xmlns:a16="http://schemas.microsoft.com/office/drawing/2014/main" id="{2293EBFB-0571-F084-EFBC-623A9C810F03}"/>
            </a:ext>
          </a:extLst>
        </xdr:cNvPr>
        <xdr:cNvSpPr txBox="1"/>
      </xdr:nvSpPr>
      <xdr:spPr>
        <a:xfrm>
          <a:off x="8833556" y="1206500"/>
          <a:ext cx="3802944" cy="352777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lvl="0" rtl="0"/>
          <a:r>
            <a:rPr lang="en-IN" sz="1200" b="1">
              <a:solidFill>
                <a:schemeClr val="dk1"/>
              </a:solidFill>
              <a:effectLst/>
              <a:latin typeface="+mn-lt"/>
              <a:ea typeface="+mn-ea"/>
              <a:cs typeface="+mn-cs"/>
            </a:rPr>
            <a:t>                </a:t>
          </a:r>
          <a:r>
            <a:rPr lang="en-IN" sz="2400" b="1" u="sng">
              <a:solidFill>
                <a:schemeClr val="dk1"/>
              </a:solidFill>
              <a:effectLst/>
              <a:latin typeface="+mn-lt"/>
              <a:ea typeface="+mn-ea"/>
              <a:cs typeface="+mn-cs"/>
            </a:rPr>
            <a:t>BUSINESS</a:t>
          </a:r>
          <a:r>
            <a:rPr lang="en-IN" sz="2400" b="1" u="sng" baseline="0">
              <a:solidFill>
                <a:schemeClr val="dk1"/>
              </a:solidFill>
              <a:effectLst/>
              <a:latin typeface="+mn-lt"/>
              <a:ea typeface="+mn-ea"/>
              <a:cs typeface="+mn-cs"/>
            </a:rPr>
            <a:t> INSIGHT                                                                                                                                                                                                                                                                                                                                            </a:t>
          </a:r>
          <a:r>
            <a:rPr lang="en-IN" sz="2400" u="sng">
              <a:solidFill>
                <a:schemeClr val="dk1"/>
              </a:solidFill>
              <a:effectLst/>
              <a:latin typeface="+mn-lt"/>
              <a:ea typeface="+mn-ea"/>
              <a:cs typeface="+mn-cs"/>
            </a:rPr>
            <a:t> </a:t>
          </a:r>
          <a:r>
            <a:rPr lang="en-IN" sz="1600" b="1">
              <a:solidFill>
                <a:schemeClr val="dk1"/>
              </a:solidFill>
              <a:effectLst/>
              <a:latin typeface="+mn-lt"/>
              <a:ea typeface="+mn-ea"/>
              <a:cs typeface="+mn-cs"/>
            </a:rPr>
            <a:t>1</a:t>
          </a:r>
          <a:r>
            <a:rPr lang="en-IN" sz="1400">
              <a:solidFill>
                <a:schemeClr val="dk1"/>
              </a:solidFill>
              <a:effectLst/>
              <a:latin typeface="+mn-lt"/>
              <a:ea typeface="+mn-ea"/>
              <a:cs typeface="+mn-cs"/>
            </a:rPr>
            <a:t>.</a:t>
          </a:r>
          <a:r>
            <a:rPr lang="en-IN" sz="1400"/>
            <a:t>Revenue rose ₹50,000 but costs rose ₹1,00,000, so profit fell ₹50,000 (margin 30.8% to 15.9%).</a:t>
          </a:r>
        </a:p>
        <a:p>
          <a:pPr lvl="0" rtl="0"/>
          <a:r>
            <a:rPr lang="en-IN" sz="1600" b="1"/>
            <a:t>2.</a:t>
          </a:r>
          <a:r>
            <a:rPr lang="en-IN" sz="1400"/>
            <a:t>Products B and C caused ₹45,000 of the ₹50,000 decline.</a:t>
          </a:r>
        </a:p>
        <a:p>
          <a:pPr lvl="0" rtl="0"/>
          <a:r>
            <a:rPr lang="en-IN" sz="1600" b="1"/>
            <a:t>3.</a:t>
          </a:r>
          <a:r>
            <a:rPr lang="en-IN" sz="1400"/>
            <a:t>Product B: cost up 61%, revenue up 25%. Margin fell from 25% to 3.3%.</a:t>
          </a:r>
        </a:p>
        <a:p>
          <a:pPr lvl="0" rtl="0"/>
          <a:r>
            <a:rPr lang="en-IN" sz="1600" b="1"/>
            <a:t>4.</a:t>
          </a:r>
          <a:r>
            <a:rPr lang="en-IN" sz="1400"/>
            <a:t>Product C: cost up 42%, revenue up 6%. Margin fell from 33% to 10.5%.</a:t>
          </a:r>
        </a:p>
        <a:p>
          <a:pPr lvl="0" rtl="0"/>
          <a:r>
            <a:rPr lang="en-IN" sz="1600" b="1"/>
            <a:t>5</a:t>
          </a:r>
          <a:r>
            <a:rPr lang="en-IN" sz="1400"/>
            <a:t>.Product D held its profit at ₹30,000 with the highest margin (36%)</a:t>
          </a:r>
        </a:p>
        <a:p>
          <a:r>
            <a:rPr lang="en-IN" sz="1600" b="1">
              <a:solidFill>
                <a:schemeClr val="dk1"/>
              </a:solidFill>
              <a:effectLst/>
              <a:latin typeface="+mn-lt"/>
              <a:ea typeface="+mn-ea"/>
              <a:cs typeface="+mn-cs"/>
            </a:rPr>
            <a:t>Recommended</a:t>
          </a:r>
          <a:r>
            <a:rPr lang="en-IN" sz="1400">
              <a:solidFill>
                <a:schemeClr val="dk1"/>
              </a:solidFill>
              <a:effectLst/>
              <a:latin typeface="+mn-lt"/>
              <a:ea typeface="+mn-ea"/>
              <a:cs typeface="+mn-cs"/>
            </a:rPr>
            <a:t> </a:t>
          </a:r>
          <a:r>
            <a:rPr lang="en-IN" sz="1400"/>
            <a:t>investigate cost growth in B and C.</a:t>
          </a:r>
          <a:endParaRPr lang="en-IN" sz="1400">
            <a:effectLst/>
          </a:endParaRPr>
        </a:p>
        <a:p>
          <a:r>
            <a:rPr lang="en-IN" sz="1600" b="1">
              <a:solidFill>
                <a:schemeClr val="dk1"/>
              </a:solidFill>
              <a:effectLst/>
              <a:latin typeface="+mn-lt"/>
              <a:ea typeface="+mn-ea"/>
              <a:cs typeface="+mn-cs"/>
            </a:rPr>
            <a:t>                                                                                                               </a:t>
          </a:r>
          <a:r>
            <a:rPr lang="en-IN" sz="1600" b="1" baseline="0">
              <a:solidFill>
                <a:schemeClr val="dk1"/>
              </a:solidFill>
              <a:effectLst/>
              <a:latin typeface="+mn-lt"/>
              <a:ea typeface="+mn-ea"/>
              <a:cs typeface="+mn-cs"/>
            </a:rPr>
            <a:t>  </a:t>
          </a:r>
          <a:endParaRPr lang="en-IN" sz="1600"/>
        </a:p>
      </xdr:txBody>
    </xdr:sp>
    <xdr:clientData/>
  </xdr:oneCellAnchor>
  <xdr:twoCellAnchor>
    <xdr:from>
      <xdr:col>0</xdr:col>
      <xdr:colOff>578555</xdr:colOff>
      <xdr:row>6</xdr:row>
      <xdr:rowOff>84665</xdr:rowOff>
    </xdr:from>
    <xdr:to>
      <xdr:col>7</xdr:col>
      <xdr:colOff>84666</xdr:colOff>
      <xdr:row>25</xdr:row>
      <xdr:rowOff>169332</xdr:rowOff>
    </xdr:to>
    <xdr:graphicFrame macro="">
      <xdr:nvGraphicFramePr>
        <xdr:cNvPr id="3" name="Chart 2">
          <a:extLst>
            <a:ext uri="{FF2B5EF4-FFF2-40B4-BE49-F238E27FC236}">
              <a16:creationId xmlns:a16="http://schemas.microsoft.com/office/drawing/2014/main" id="{73C96CD4-EE2A-43FA-AD37-8E303A321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uri dedeepya" refreshedDate="46147.68228483796" createdVersion="8" refreshedVersion="8" minRefreshableVersion="3" recordCount="8" xr:uid="{8D3ED41C-8246-403D-8742-A69D608BC78C}">
  <cacheSource type="worksheet">
    <worksheetSource name="Table1"/>
  </cacheSource>
  <cacheFields count="7">
    <cacheField name="Product" numFmtId="0">
      <sharedItems count="4">
        <s v="A"/>
        <s v="B"/>
        <s v="C"/>
        <s v="D"/>
      </sharedItems>
    </cacheField>
    <cacheField name="Period" numFmtId="0">
      <sharedItems count="2">
        <s v="Old"/>
        <s v="New"/>
      </sharedItems>
    </cacheField>
    <cacheField name="Revenue" numFmtId="0">
      <sharedItems containsSemiMixedTypes="0" containsString="0" containsNumber="1" containsInteger="1" minValue="80000" maxValue="150000"/>
    </cacheField>
    <cacheField name="Cost" numFmtId="0">
      <sharedItems containsSemiMixedTypes="0" containsString="0" containsNumber="1" containsInteger="1" minValue="50000" maxValue="145000"/>
    </cacheField>
    <cacheField name="profit" numFmtId="0">
      <sharedItems containsSemiMixedTypes="0" containsString="0" containsNumber="1" containsInteger="1" minValue="5000" maxValue="30000"/>
    </cacheField>
    <cacheField name="margin%" numFmtId="10">
      <sharedItems containsSemiMixedTypes="0" containsString="0" containsNumber="1" minValue="3.3333333333333333E-2" maxValue="0.375"/>
    </cacheField>
    <cacheField name="Field1" numFmtId="0" formula="profit /Revenue" databaseField="0"/>
  </cacheFields>
  <extLst>
    <ext xmlns:x14="http://schemas.microsoft.com/office/spreadsheetml/2009/9/main" uri="{725AE2AE-9491-48be-B2B4-4EB974FC3084}">
      <x14:pivotCacheDefinition pivotCacheId="4551585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uri dedeepya" refreshedDate="46147.692712731485" createdVersion="8" refreshedVersion="8" minRefreshableVersion="3" recordCount="4" xr:uid="{834AC195-CB44-41DF-A3FB-9B5699774876}">
  <cacheSource type="worksheet">
    <worksheetSource name="Table2"/>
  </cacheSource>
  <cacheFields count="8">
    <cacheField name="Product" numFmtId="0">
      <sharedItems count="4">
        <s v="A"/>
        <s v="B"/>
        <s v="C"/>
        <s v="D"/>
      </sharedItems>
    </cacheField>
    <cacheField name="Old Revenue" numFmtId="0">
      <sharedItems containsSemiMixedTypes="0" containsString="0" containsNumber="1" containsInteger="1" minValue="80000" maxValue="120000"/>
    </cacheField>
    <cacheField name="New Revenue" numFmtId="0">
      <sharedItems containsSemiMixedTypes="0" containsString="0" containsNumber="1" containsInteger="1" minValue="85000" maxValue="150000"/>
    </cacheField>
    <cacheField name="Revenue Change" numFmtId="0">
      <sharedItems containsSemiMixedTypes="0" containsString="0" containsNumber="1" containsInteger="1" minValue="5000" maxValue="30000"/>
    </cacheField>
    <cacheField name="Old Cost" numFmtId="0">
      <sharedItems containsSemiMixedTypes="0" containsString="0" containsNumber="1" containsInteger="1" minValue="50000" maxValue="90000"/>
    </cacheField>
    <cacheField name="New Cost" numFmtId="0">
      <sharedItems containsSemiMixedTypes="0" containsString="0" containsNumber="1" containsInteger="1" minValue="55000" maxValue="145000"/>
    </cacheField>
    <cacheField name="Cost Change" numFmtId="0">
      <sharedItems containsSemiMixedTypes="0" containsString="0" containsNumber="1" containsInteger="1" minValue="5000" maxValue="55000"/>
    </cacheField>
    <cacheField name="Profit Change" numFmtId="0">
      <sharedItems containsSemiMixedTypes="0" containsString="0" containsNumber="1" containsInteger="1" minValue="-2500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100000"/>
    <n v="70000"/>
    <n v="30000"/>
    <n v="0.3"/>
  </r>
  <r>
    <x v="0"/>
    <x v="1"/>
    <n v="110000"/>
    <n v="85000"/>
    <n v="25000"/>
    <n v="0.22727272727272727"/>
  </r>
  <r>
    <x v="1"/>
    <x v="0"/>
    <n v="120000"/>
    <n v="90000"/>
    <n v="30000"/>
    <n v="0.25"/>
  </r>
  <r>
    <x v="1"/>
    <x v="1"/>
    <n v="150000"/>
    <n v="145000"/>
    <n v="5000"/>
    <n v="3.3333333333333333E-2"/>
  </r>
  <r>
    <x v="2"/>
    <x v="0"/>
    <n v="90000"/>
    <n v="60000"/>
    <n v="30000"/>
    <n v="0.33333333333333331"/>
  </r>
  <r>
    <x v="2"/>
    <x v="1"/>
    <n v="95000"/>
    <n v="85000"/>
    <n v="10000"/>
    <n v="0.10526315789473684"/>
  </r>
  <r>
    <x v="3"/>
    <x v="0"/>
    <n v="80000"/>
    <n v="50000"/>
    <n v="30000"/>
    <n v="0.375"/>
  </r>
  <r>
    <x v="3"/>
    <x v="1"/>
    <n v="85000"/>
    <n v="55000"/>
    <n v="30000"/>
    <n v="0.3529411764705882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00000"/>
    <n v="110000"/>
    <n v="10000"/>
    <n v="70000"/>
    <n v="85000"/>
    <n v="15000"/>
    <n v="-5000"/>
  </r>
  <r>
    <x v="1"/>
    <n v="120000"/>
    <n v="150000"/>
    <n v="30000"/>
    <n v="90000"/>
    <n v="145000"/>
    <n v="55000"/>
    <n v="-25000"/>
  </r>
  <r>
    <x v="2"/>
    <n v="90000"/>
    <n v="95000"/>
    <n v="5000"/>
    <n v="60000"/>
    <n v="85000"/>
    <n v="25000"/>
    <n v="-20000"/>
  </r>
  <r>
    <x v="3"/>
    <n v="80000"/>
    <n v="85000"/>
    <n v="5000"/>
    <n v="50000"/>
    <n v="55000"/>
    <n v="5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04EF8-106D-4BBA-A376-2159BBDAEF4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7">
    <pivotField axis="axisRow" showAll="0">
      <items count="5">
        <item x="0"/>
        <item x="1"/>
        <item x="2"/>
        <item x="3"/>
        <item t="default"/>
      </items>
    </pivotField>
    <pivotField showAll="0"/>
    <pivotField showAll="0"/>
    <pivotField showAll="0"/>
    <pivotField dataField="1" showAll="0"/>
    <pivotField numFmtId="10" showAll="0"/>
    <pivotField dragToRow="0" dragToCol="0" dragToPage="0" showAll="0" defaultSubtotal="0"/>
  </pivotFields>
  <rowFields count="1">
    <field x="0"/>
  </rowFields>
  <rowItems count="5">
    <i>
      <x/>
    </i>
    <i>
      <x v="1"/>
    </i>
    <i>
      <x v="2"/>
    </i>
    <i>
      <x v="3"/>
    </i>
    <i t="grand">
      <x/>
    </i>
  </rowItems>
  <colItems count="1">
    <i/>
  </colItems>
  <dataFields count="1">
    <dataField name="Sum of profit"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522AD-30E5-451C-AB17-AF382BE367D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7">
    <pivotField axis="axisRow" showAll="0">
      <items count="5">
        <item x="0"/>
        <item x="1"/>
        <item x="2"/>
        <item x="3"/>
        <item t="default"/>
      </items>
    </pivotField>
    <pivotField showAll="0">
      <items count="3">
        <item x="1"/>
        <item x="0"/>
        <item t="default"/>
      </items>
    </pivotField>
    <pivotField showAll="0"/>
    <pivotField showAll="0"/>
    <pivotField showAll="0"/>
    <pivotField numFmtId="10" showAll="0"/>
    <pivotField dataField="1" dragToRow="0" dragToCol="0" dragToPage="0" showAll="0" defaultSubtotal="0"/>
  </pivotFields>
  <rowFields count="1">
    <field x="0"/>
  </rowFields>
  <rowItems count="5">
    <i>
      <x/>
    </i>
    <i>
      <x v="1"/>
    </i>
    <i>
      <x v="2"/>
    </i>
    <i>
      <x v="3"/>
    </i>
    <i t="grand">
      <x/>
    </i>
  </rowItems>
  <colItems count="1">
    <i/>
  </colItems>
  <dataFields count="1">
    <dataField name="margin" fld="6" baseField="0" baseItem="0"/>
  </dataFields>
  <chartFormats count="3">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112578-7380-453A-8EC0-CC8E68557DC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7" firstHeaderRow="1" firstDataRow="1" firstDataCol="1"/>
  <pivotFields count="8">
    <pivotField axis="axisRow" showAll="0">
      <items count="5">
        <item x="0"/>
        <item x="1"/>
        <item x="2"/>
        <item x="3"/>
        <item t="default"/>
      </items>
    </pivotField>
    <pivotField showAll="0"/>
    <pivotField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Profit Chang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2B6273-1791-4B7B-B6A2-F5E74271EE0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15" firstHeaderRow="1" firstDataRow="1" firstDataCol="1"/>
  <pivotFields count="7">
    <pivotField axis="axisRow" showAll="0">
      <items count="5">
        <item x="0"/>
        <item x="1"/>
        <item x="2"/>
        <item x="3"/>
        <item t="default"/>
      </items>
    </pivotField>
    <pivotField axis="axisRow" showAll="0">
      <items count="3">
        <item x="1"/>
        <item x="0"/>
        <item t="default"/>
      </items>
    </pivotField>
    <pivotField showAll="0"/>
    <pivotField showAll="0"/>
    <pivotField dataField="1" showAll="0"/>
    <pivotField numFmtId="10" showAll="0"/>
    <pivotField dragToRow="0" dragToCol="0" dragToPage="0" showAll="0" defaultSubtotal="0"/>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profit" fld="4"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3">
          <reference field="4294967294" count="1" selected="0">
            <x v="0"/>
          </reference>
          <reference field="0" count="1" selected="0">
            <x v="2"/>
          </reference>
          <reference field="1" count="1" selected="0">
            <x v="1"/>
          </reference>
        </references>
      </pivotArea>
    </chartFormat>
    <chartFormat chart="7" format="10">
      <pivotArea type="data" outline="0" fieldPosition="0">
        <references count="3">
          <reference field="4294967294" count="1" selected="0">
            <x v="0"/>
          </reference>
          <reference field="0" count="1" selected="0">
            <x v="3"/>
          </reference>
          <reference field="1" count="1" selected="0">
            <x v="0"/>
          </reference>
        </references>
      </pivotArea>
    </chartFormat>
    <chartFormat chart="7" format="11">
      <pivotArea type="data" outline="0" fieldPosition="0">
        <references count="3">
          <reference field="4294967294" count="1" selected="0">
            <x v="0"/>
          </reference>
          <reference field="0" count="1" selected="0">
            <x v="3"/>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723F6-4437-4F83-8BA7-AE66BD5CDC2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7">
    <pivotField showAll="0"/>
    <pivotField showAll="0"/>
    <pivotField dataField="1" showAll="0"/>
    <pivotField showAll="0"/>
    <pivotField showAll="0"/>
    <pivotField numFmtId="10" showAll="0"/>
    <pivotField dragToRow="0" dragToCol="0" dragToPage="0" showAll="0" defaultSubtotal="0"/>
  </pivotFields>
  <rowItems count="1">
    <i/>
  </rowItems>
  <colItems count="1">
    <i/>
  </colItems>
  <dataFields count="1">
    <dataField name="Sum of Revenue" fld="2" baseField="0" baseItem="0" numFmtId="43"/>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9B0F35-B94B-42BA-AF13-2B68E351D89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8">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Change" fld="7" baseField="0" baseItem="0" numFmtId="4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F8D145-10EF-49EC-9405-D3D1BB0E78B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7" firstHeaderRow="0" firstDataRow="1" firstDataCol="0"/>
  <pivotFields count="7">
    <pivotField showAll="0">
      <items count="5">
        <item x="0"/>
        <item x="1"/>
        <item x="2"/>
        <item x="3"/>
        <item t="default"/>
      </items>
    </pivotField>
    <pivotField showAll="0">
      <items count="3">
        <item x="1"/>
        <item x="0"/>
        <item t="default"/>
      </items>
    </pivotField>
    <pivotField showAll="0"/>
    <pivotField showAll="0"/>
    <pivotField dataField="1" showAll="0"/>
    <pivotField dataField="1" numFmtId="10" showAll="0"/>
    <pivotField dragToRow="0" dragToCol="0" dragToPage="0" showAll="0" defaultSubtotal="0"/>
  </pivotFields>
  <rowItems count="1">
    <i/>
  </rowItems>
  <colFields count="1">
    <field x="-2"/>
  </colFields>
  <colItems count="2">
    <i>
      <x/>
    </i>
    <i i="1">
      <x v="1"/>
    </i>
  </colItems>
  <dataFields count="2">
    <dataField name="Sum of profit" fld="4" baseField="0" baseItem="0" numFmtId="43"/>
    <dataField name="Average of margin%" fld="5" subtotal="average" baseField="0" baseItem="1" numFmtId="10"/>
  </dataFields>
  <formats count="1">
    <format dxfId="2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93FD5-D7CD-4F7A-9117-A1A2B6B5A1A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showAll="0"/>
    <pivotField showAll="0"/>
    <pivotField numFmtId="10" showAll="0"/>
    <pivotField dataField="1" dragToRow="0" dragToCol="0" dragToPage="0" showAll="0" defaultSubtotal="0"/>
  </pivotFields>
  <rowItems count="1">
    <i/>
  </rowItems>
  <colItems count="1">
    <i/>
  </colItems>
  <dataFields count="1">
    <dataField name="Sum of Field1" fld="6" baseField="0"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BB8D0AB1-0AAA-4F9C-AA4A-62F79960EAD5}" sourceName="Period">
  <pivotTables>
    <pivotTable tabId="7" name="PivotTable6"/>
  </pivotTables>
  <data>
    <tabular pivotCacheId="45515856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4536EE8-A20A-4E54-A716-BF7D5C8C418B}" sourceName="Product">
  <pivotTables>
    <pivotTable tabId="7" name="PivotTable6"/>
  </pivotTables>
  <data>
    <tabular pivotCacheId="45515856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xr10:uid="{94496C3D-0CB0-4CEE-BD60-9BDD34F99D7F}" cache="Slicer_Period" caption="Period" style="SlicerStyleLight3" rowHeight="241300"/>
  <slicer name="Product" xr10:uid="{4CCF5CAB-6A0B-4518-A780-6C11FBFB517C}" cache="Slicer_Product" caption="Produc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776CC0-C5CF-4B7D-964C-4B2E0E9BC0F3}" name="Table3" displayName="Table3" ref="A3:F11" totalsRowShown="0">
  <autoFilter ref="A3:F11" xr:uid="{12776CC0-C5CF-4B7D-964C-4B2E0E9BC0F3}"/>
  <tableColumns count="6">
    <tableColumn id="1" xr3:uid="{E5E04823-0EB9-41C1-BD85-BA08C0AAF128}" name="Product"/>
    <tableColumn id="2" xr3:uid="{BF49F62B-8465-45D0-81C1-23220DF65CCC}" name="Period"/>
    <tableColumn id="3" xr3:uid="{40D91F46-2520-49FB-9E88-96E248B1AABB}" name="Revenue"/>
    <tableColumn id="4" xr3:uid="{8A6540F9-1429-4607-BBDB-2A1DDBB47EA6}" name="Cost"/>
    <tableColumn id="5" xr3:uid="{4473DC3A-B349-440B-9AC6-5CF684D69999}" name="profit"/>
    <tableColumn id="6" xr3:uid="{48259882-8346-43C8-9469-44024E0CF19F}" name="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29B607-198C-4EC6-9EBA-70CB00A058DE}" name="Table4" displayName="Table4" ref="A3:F12" totalsRowCount="1">
  <autoFilter ref="A3:F11" xr:uid="{5129B607-198C-4EC6-9EBA-70CB00A058DE}"/>
  <tableColumns count="6">
    <tableColumn id="1" xr3:uid="{A97AA412-EC47-49E8-9A2F-C09FE52F6518}" name="Product"/>
    <tableColumn id="2" xr3:uid="{95E6A4D1-5900-4659-9E78-FE409673750E}" name="Period"/>
    <tableColumn id="3" xr3:uid="{C3D6852D-C315-47C7-9055-B0403CCFDECA}" name="Revenue"/>
    <tableColumn id="4" xr3:uid="{A0DD2C1A-7B73-4E11-9FFA-74E1692CEF8A}" name="Cost"/>
    <tableColumn id="5" xr3:uid="{A6ACF3A1-06C9-497E-9A91-FA36196E455F}" name="profit"/>
    <tableColumn id="6" xr3:uid="{B69F36A3-01D1-45C1-BC15-D896E0C3837B}" name="margin%" totalsRowFunction="custom">
      <calculatedColumnFormula>Table4[[#This Row],[profit]]/Table4[[#This Row],[Revenue]]</calculatedColumnFormula>
      <totalsRowFormula>AVERAGE(Table4[margin%])</totalsRow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CD2666-6AF3-4FEE-A03D-EAB3427F5039}" name="Table1" displayName="Table1" ref="A1:F9" totalsRowShown="0" headerRowDxfId="17" dataDxfId="16">
  <autoFilter ref="A1:F9" xr:uid="{FDCD2666-6AF3-4FEE-A03D-EAB3427F5039}"/>
  <tableColumns count="6">
    <tableColumn id="1" xr3:uid="{5A29071E-332E-493B-8A1B-212BA57F6487}" name="Product" dataDxfId="15"/>
    <tableColumn id="2" xr3:uid="{5F9AE6C8-E070-4308-9CD8-12C5E268954F}" name="Period" dataDxfId="14"/>
    <tableColumn id="3" xr3:uid="{4B9ABB37-81FD-414D-9644-D3EC773B6C28}" name="Revenue" dataDxfId="13"/>
    <tableColumn id="4" xr3:uid="{2C594EE6-B265-4096-8A9A-0FA6D4B9FDB3}" name="Cost" dataDxfId="12"/>
    <tableColumn id="5" xr3:uid="{7D84BC94-36BC-4085-8803-60C65D4E7ADD}" name="profit" dataDxfId="11">
      <calculatedColumnFormula>C2-D2</calculatedColumnFormula>
    </tableColumn>
    <tableColumn id="6" xr3:uid="{4EC7A450-F37E-4638-B584-9BD7F9202538}" name="margin%" dataDxfId="10">
      <calculatedColumnFormula>E2/C2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1F59F0-4E79-498D-9570-55A4B3E48C64}" name="Table2" displayName="Table2" ref="A1:H5" totalsRowShown="0" headerRowDxfId="9">
  <autoFilter ref="A1:H5" xr:uid="{491F59F0-4E79-498D-9570-55A4B3E48C64}"/>
  <tableColumns count="8">
    <tableColumn id="1" xr3:uid="{0A6432FC-04CE-46C2-AE38-63B8CBF4056C}" name="Product"/>
    <tableColumn id="2" xr3:uid="{3E84A994-6DF7-4857-BF17-CF9DDC363898}" name="Old Revenue" dataDxfId="8"/>
    <tableColumn id="3" xr3:uid="{44DF5A74-3F8D-4397-B99B-0F5552BAF16F}" name="New Revenue" dataDxfId="7"/>
    <tableColumn id="4" xr3:uid="{129407FA-9783-40FC-929D-99609BFE4DDB}" name="Revenue Change">
      <calculatedColumnFormula>C2-B2</calculatedColumnFormula>
    </tableColumn>
    <tableColumn id="5" xr3:uid="{AAD06571-24C9-469C-BA94-6F250512AE0C}" name="Old Cost" dataDxfId="6"/>
    <tableColumn id="6" xr3:uid="{6F42179C-DBB6-48EA-9CBF-9E5FE171C530}" name="New Cost" dataDxfId="5"/>
    <tableColumn id="7" xr3:uid="{BE4F6397-06E7-494C-ADF2-40D6F50E45F7}" name="Cost Change">
      <calculatedColumnFormula>F2-E2</calculatedColumnFormula>
    </tableColumn>
    <tableColumn id="8" xr3:uid="{73734894-29B5-432C-B46F-9FC9CCFE6B3B}" name="Profit Change">
      <calculatedColumnFormula>(C2-F2)-(B2-E2)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8092-446B-4821-9116-C22FDA055599}">
  <dimension ref="A3:B8"/>
  <sheetViews>
    <sheetView workbookViewId="0">
      <selection activeCell="L6" sqref="L6"/>
    </sheetView>
  </sheetViews>
  <sheetFormatPr defaultRowHeight="14.5" x14ac:dyDescent="0.35"/>
  <cols>
    <col min="1" max="1" width="12.36328125" bestFit="1" customWidth="1"/>
    <col min="2" max="2" width="11.81640625" bestFit="1" customWidth="1"/>
  </cols>
  <sheetData>
    <row r="3" spans="1:2" x14ac:dyDescent="0.35">
      <c r="A3" s="4" t="s">
        <v>19</v>
      </c>
      <c r="B3" t="s">
        <v>21</v>
      </c>
    </row>
    <row r="4" spans="1:2" x14ac:dyDescent="0.35">
      <c r="A4" s="5" t="s">
        <v>3</v>
      </c>
      <c r="B4" s="10">
        <v>55000</v>
      </c>
    </row>
    <row r="5" spans="1:2" x14ac:dyDescent="0.35">
      <c r="A5" s="5" t="s">
        <v>4</v>
      </c>
      <c r="B5" s="10">
        <v>35000</v>
      </c>
    </row>
    <row r="6" spans="1:2" x14ac:dyDescent="0.35">
      <c r="A6" s="5" t="s">
        <v>5</v>
      </c>
      <c r="B6" s="10">
        <v>40000</v>
      </c>
    </row>
    <row r="7" spans="1:2" x14ac:dyDescent="0.35">
      <c r="A7" s="5" t="s">
        <v>6</v>
      </c>
      <c r="B7" s="10">
        <v>60000</v>
      </c>
    </row>
    <row r="8" spans="1:2" x14ac:dyDescent="0.35">
      <c r="A8" s="5" t="s">
        <v>20</v>
      </c>
      <c r="B8" s="10">
        <v>190000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32EE-E33D-4886-9B47-BB83B68E036B}">
  <dimension ref="A3:B8"/>
  <sheetViews>
    <sheetView workbookViewId="0">
      <selection activeCell="L1" sqref="L1:L1048576"/>
    </sheetView>
  </sheetViews>
  <sheetFormatPr defaultRowHeight="14.5" x14ac:dyDescent="0.35"/>
  <cols>
    <col min="1" max="1" width="12.36328125" bestFit="1" customWidth="1"/>
    <col min="2" max="2" width="11.81640625" bestFit="1" customWidth="1"/>
    <col min="3" max="3" width="12" bestFit="1" customWidth="1"/>
  </cols>
  <sheetData>
    <row r="3" spans="1:2" x14ac:dyDescent="0.35">
      <c r="A3" s="4" t="s">
        <v>19</v>
      </c>
      <c r="B3" t="s">
        <v>27</v>
      </c>
    </row>
    <row r="4" spans="1:2" x14ac:dyDescent="0.35">
      <c r="A4" s="5" t="s">
        <v>3</v>
      </c>
      <c r="B4" s="10">
        <v>0.26190476190476192</v>
      </c>
    </row>
    <row r="5" spans="1:2" x14ac:dyDescent="0.35">
      <c r="A5" s="5" t="s">
        <v>4</v>
      </c>
      <c r="B5" s="10">
        <v>0.12962962962962962</v>
      </c>
    </row>
    <row r="6" spans="1:2" x14ac:dyDescent="0.35">
      <c r="A6" s="5" t="s">
        <v>5</v>
      </c>
      <c r="B6" s="10">
        <v>0.21621621621621623</v>
      </c>
    </row>
    <row r="7" spans="1:2" x14ac:dyDescent="0.35">
      <c r="A7" s="5" t="s">
        <v>6</v>
      </c>
      <c r="B7" s="10">
        <v>0.36363636363636365</v>
      </c>
    </row>
    <row r="8" spans="1:2" x14ac:dyDescent="0.35">
      <c r="A8" s="5" t="s">
        <v>20</v>
      </c>
      <c r="B8" s="10">
        <v>0.2289156626506024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2529-3E0A-451B-B137-339E7853C20B}">
  <dimension ref="A2:B7"/>
  <sheetViews>
    <sheetView workbookViewId="0">
      <selection activeCell="A2" sqref="A2"/>
    </sheetView>
  </sheetViews>
  <sheetFormatPr defaultRowHeight="14.5" x14ac:dyDescent="0.35"/>
  <cols>
    <col min="1" max="1" width="12.36328125" bestFit="1" customWidth="1"/>
    <col min="2" max="2" width="18.6328125" bestFit="1" customWidth="1"/>
    <col min="3" max="3" width="10.81640625" bestFit="1" customWidth="1"/>
  </cols>
  <sheetData>
    <row r="2" spans="1:2" x14ac:dyDescent="0.35">
      <c r="A2" s="4" t="s">
        <v>19</v>
      </c>
      <c r="B2" t="s">
        <v>24</v>
      </c>
    </row>
    <row r="3" spans="1:2" x14ac:dyDescent="0.35">
      <c r="A3" s="5" t="s">
        <v>3</v>
      </c>
      <c r="B3">
        <v>-5000</v>
      </c>
    </row>
    <row r="4" spans="1:2" x14ac:dyDescent="0.35">
      <c r="A4" s="5" t="s">
        <v>4</v>
      </c>
      <c r="B4">
        <v>-25000</v>
      </c>
    </row>
    <row r="5" spans="1:2" x14ac:dyDescent="0.35">
      <c r="A5" s="5" t="s">
        <v>5</v>
      </c>
      <c r="B5">
        <v>-20000</v>
      </c>
    </row>
    <row r="6" spans="1:2" x14ac:dyDescent="0.35">
      <c r="A6" s="5" t="s">
        <v>6</v>
      </c>
      <c r="B6">
        <v>0</v>
      </c>
    </row>
    <row r="7" spans="1:2" x14ac:dyDescent="0.35">
      <c r="A7" s="5" t="s">
        <v>20</v>
      </c>
      <c r="B7">
        <v>-50000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4159-6BA2-4B6A-87CD-6A1058C9DBCA}">
  <dimension ref="B1:U26"/>
  <sheetViews>
    <sheetView zoomScale="90" zoomScaleNormal="90" workbookViewId="0">
      <selection activeCell="V16" sqref="V16"/>
    </sheetView>
  </sheetViews>
  <sheetFormatPr defaultRowHeight="14.5" x14ac:dyDescent="0.35"/>
  <cols>
    <col min="1" max="1" width="8.36328125" customWidth="1"/>
  </cols>
  <sheetData>
    <row r="1" spans="2:21" x14ac:dyDescent="0.35">
      <c r="B1" s="8"/>
      <c r="C1" s="8"/>
      <c r="D1" s="8"/>
      <c r="E1" s="8"/>
      <c r="F1" s="8"/>
      <c r="G1" s="8"/>
      <c r="H1" s="8"/>
      <c r="I1" s="8"/>
      <c r="J1" s="8"/>
      <c r="K1" s="8"/>
      <c r="L1" s="8"/>
      <c r="M1" s="8"/>
      <c r="N1" s="8"/>
      <c r="O1" s="8"/>
      <c r="P1" s="8"/>
      <c r="Q1" s="8"/>
      <c r="R1" s="8"/>
      <c r="S1" s="8"/>
      <c r="T1" s="8"/>
      <c r="U1" s="8"/>
    </row>
    <row r="2" spans="2:21" x14ac:dyDescent="0.35">
      <c r="B2" s="8"/>
      <c r="C2" s="8"/>
      <c r="D2" s="8"/>
      <c r="E2" s="8"/>
      <c r="F2" s="8"/>
      <c r="G2" s="8"/>
      <c r="H2" s="8"/>
      <c r="I2" s="8"/>
      <c r="J2" s="8"/>
      <c r="K2" s="8"/>
      <c r="L2" s="8"/>
      <c r="M2" s="8"/>
      <c r="N2" s="8"/>
      <c r="O2" s="8"/>
      <c r="P2" s="8"/>
      <c r="Q2" s="8"/>
      <c r="R2" s="8"/>
      <c r="S2" s="8"/>
      <c r="T2" s="8"/>
      <c r="U2" s="8"/>
    </row>
    <row r="3" spans="2:21" x14ac:dyDescent="0.35">
      <c r="B3" s="8"/>
      <c r="C3" s="8"/>
      <c r="D3" s="8"/>
      <c r="E3" s="8"/>
      <c r="F3" s="8"/>
      <c r="G3" s="8"/>
      <c r="H3" s="8"/>
      <c r="I3" s="8"/>
      <c r="J3" s="8"/>
      <c r="K3" s="8"/>
      <c r="L3" s="8"/>
      <c r="M3" s="8"/>
      <c r="N3" s="8"/>
      <c r="O3" s="8"/>
      <c r="P3" s="8"/>
      <c r="Q3" s="8"/>
      <c r="R3" s="8"/>
      <c r="S3" s="8"/>
      <c r="T3" s="8"/>
      <c r="U3" s="8"/>
    </row>
    <row r="4" spans="2:21" x14ac:dyDescent="0.35">
      <c r="B4" s="8"/>
      <c r="C4" s="8"/>
      <c r="D4" s="8"/>
      <c r="E4" s="8"/>
      <c r="F4" s="8"/>
      <c r="G4" s="8"/>
      <c r="H4" s="8"/>
      <c r="I4" s="8"/>
      <c r="J4" s="8"/>
      <c r="K4" s="8"/>
      <c r="L4" s="8"/>
      <c r="M4" s="8"/>
      <c r="N4" s="8"/>
      <c r="O4" s="8"/>
      <c r="P4" s="8"/>
      <c r="Q4" s="8"/>
      <c r="R4" s="8"/>
      <c r="S4" s="8"/>
      <c r="T4" s="8"/>
      <c r="U4" s="8"/>
    </row>
    <row r="5" spans="2:21" x14ac:dyDescent="0.35">
      <c r="B5" s="8"/>
      <c r="C5" s="8"/>
      <c r="D5" s="8"/>
      <c r="E5" s="8"/>
      <c r="F5" s="8"/>
      <c r="G5" s="8"/>
      <c r="H5" s="8"/>
      <c r="I5" s="8"/>
      <c r="J5" s="8"/>
      <c r="K5" s="8"/>
      <c r="L5" s="8"/>
      <c r="M5" s="8"/>
      <c r="N5" s="8"/>
      <c r="O5" s="8"/>
      <c r="P5" s="8"/>
      <c r="Q5" s="8"/>
      <c r="R5" s="8"/>
      <c r="S5" s="8"/>
      <c r="T5" s="8"/>
      <c r="U5" s="8"/>
    </row>
    <row r="6" spans="2:21" x14ac:dyDescent="0.35">
      <c r="B6" s="8"/>
      <c r="C6" s="8"/>
      <c r="D6" s="8"/>
      <c r="E6" s="8"/>
      <c r="F6" s="8"/>
      <c r="G6" s="8"/>
      <c r="H6" s="8"/>
      <c r="I6" s="8"/>
      <c r="J6" s="8"/>
      <c r="K6" s="8"/>
      <c r="L6" s="8"/>
      <c r="M6" s="8"/>
      <c r="N6" s="8"/>
      <c r="O6" s="8"/>
      <c r="P6" s="8"/>
      <c r="Q6" s="8"/>
      <c r="R6" s="8"/>
      <c r="S6" s="8"/>
      <c r="T6" s="8"/>
      <c r="U6" s="8"/>
    </row>
    <row r="7" spans="2:21" x14ac:dyDescent="0.35">
      <c r="B7" s="8"/>
      <c r="C7" s="8"/>
      <c r="D7" s="8"/>
      <c r="E7" s="8"/>
      <c r="F7" s="8"/>
      <c r="G7" s="8"/>
      <c r="H7" s="8"/>
      <c r="I7" s="8"/>
      <c r="J7" s="8"/>
      <c r="K7" s="8"/>
      <c r="L7" s="8"/>
      <c r="M7" s="8"/>
      <c r="N7" s="8"/>
      <c r="O7" s="8"/>
      <c r="P7" s="8"/>
      <c r="Q7" s="8"/>
      <c r="R7" s="8"/>
      <c r="S7" s="8"/>
      <c r="T7" s="8"/>
      <c r="U7" s="8"/>
    </row>
    <row r="8" spans="2:21" x14ac:dyDescent="0.35">
      <c r="B8" s="8"/>
      <c r="C8" s="8"/>
      <c r="D8" s="8"/>
      <c r="E8" s="8"/>
      <c r="F8" s="8"/>
      <c r="G8" s="8"/>
      <c r="H8" s="8"/>
      <c r="I8" s="8"/>
      <c r="J8" s="8"/>
      <c r="K8" s="8"/>
      <c r="L8" s="8"/>
      <c r="M8" s="8"/>
      <c r="N8" s="8"/>
      <c r="O8" s="8"/>
      <c r="P8" s="8"/>
      <c r="Q8" s="8"/>
      <c r="R8" s="8"/>
      <c r="S8" s="8"/>
      <c r="T8" s="8"/>
      <c r="U8" s="8"/>
    </row>
    <row r="9" spans="2:21" x14ac:dyDescent="0.35">
      <c r="B9" s="8"/>
      <c r="C9" s="8"/>
      <c r="D9" s="8"/>
      <c r="E9" s="8"/>
      <c r="F9" s="8"/>
      <c r="G9" s="8"/>
      <c r="H9" s="8"/>
      <c r="I9" s="8"/>
      <c r="J9" s="8"/>
      <c r="K9" s="8"/>
      <c r="L9" s="8"/>
      <c r="M9" s="8"/>
      <c r="N9" s="8"/>
      <c r="O9" s="8"/>
      <c r="P9" s="8"/>
      <c r="Q9" s="8"/>
      <c r="R9" s="8"/>
      <c r="S9" s="8"/>
      <c r="T9" s="8"/>
      <c r="U9" s="8"/>
    </row>
    <row r="10" spans="2:21" x14ac:dyDescent="0.35">
      <c r="B10" s="8"/>
      <c r="C10" s="8"/>
      <c r="D10" s="8"/>
      <c r="E10" s="8"/>
      <c r="F10" s="8"/>
      <c r="G10" s="8"/>
      <c r="H10" s="8"/>
      <c r="I10" s="8"/>
      <c r="J10" s="8"/>
      <c r="K10" s="8"/>
      <c r="L10" s="8"/>
      <c r="M10" s="8"/>
      <c r="N10" s="8"/>
      <c r="O10" s="8"/>
      <c r="P10" s="8"/>
      <c r="Q10" s="8"/>
      <c r="R10" s="8"/>
      <c r="S10" s="8"/>
      <c r="T10" s="8"/>
      <c r="U10" s="8"/>
    </row>
    <row r="11" spans="2:21" x14ac:dyDescent="0.35">
      <c r="B11" s="8"/>
      <c r="C11" s="8"/>
      <c r="D11" s="8"/>
      <c r="E11" s="8"/>
      <c r="F11" s="8"/>
      <c r="G11" s="8"/>
      <c r="H11" s="8"/>
      <c r="I11" s="8"/>
      <c r="J11" s="8"/>
      <c r="K11" s="8"/>
      <c r="L11" s="8"/>
      <c r="M11" s="8"/>
      <c r="N11" s="8"/>
      <c r="O11" s="8"/>
      <c r="P11" s="8"/>
      <c r="Q11" s="8"/>
      <c r="R11" s="8"/>
      <c r="S11" s="8"/>
      <c r="T11" s="8"/>
      <c r="U11" s="8"/>
    </row>
    <row r="12" spans="2:21" x14ac:dyDescent="0.35">
      <c r="B12" s="8"/>
      <c r="C12" s="8"/>
      <c r="D12" s="8"/>
      <c r="E12" s="8"/>
      <c r="F12" s="8"/>
      <c r="G12" s="8"/>
      <c r="H12" s="8"/>
      <c r="I12" s="8"/>
      <c r="J12" s="8"/>
      <c r="K12" s="8"/>
      <c r="L12" s="8"/>
      <c r="M12" s="8"/>
      <c r="N12" s="8"/>
      <c r="O12" s="8"/>
      <c r="P12" s="8"/>
      <c r="Q12" s="8"/>
      <c r="R12" s="8"/>
      <c r="S12" s="8"/>
      <c r="T12" s="8"/>
      <c r="U12" s="8"/>
    </row>
    <row r="13" spans="2:21" x14ac:dyDescent="0.35">
      <c r="B13" s="8"/>
      <c r="C13" s="8"/>
      <c r="D13" s="8"/>
      <c r="E13" s="8"/>
      <c r="F13" s="8"/>
      <c r="G13" s="8"/>
      <c r="H13" s="8"/>
      <c r="I13" s="8"/>
      <c r="J13" s="8"/>
      <c r="K13" s="8"/>
      <c r="L13" s="8"/>
      <c r="M13" s="8"/>
      <c r="N13" s="8"/>
      <c r="O13" s="8"/>
      <c r="P13" s="8"/>
      <c r="Q13" s="8"/>
      <c r="R13" s="8"/>
      <c r="S13" s="8"/>
      <c r="T13" s="8"/>
      <c r="U13" s="8"/>
    </row>
    <row r="14" spans="2:21" x14ac:dyDescent="0.35">
      <c r="B14" s="8"/>
      <c r="C14" s="8"/>
      <c r="D14" s="8"/>
      <c r="E14" s="8"/>
      <c r="F14" s="8"/>
      <c r="G14" s="8"/>
      <c r="H14" s="8"/>
      <c r="I14" s="8"/>
      <c r="J14" s="8"/>
      <c r="K14" s="8"/>
      <c r="L14" s="8"/>
      <c r="M14" s="8"/>
      <c r="N14" s="8"/>
      <c r="O14" s="8"/>
      <c r="P14" s="8"/>
      <c r="Q14" s="8"/>
      <c r="R14" s="8"/>
      <c r="S14" s="8"/>
      <c r="T14" s="8"/>
      <c r="U14" s="8"/>
    </row>
    <row r="15" spans="2:21" x14ac:dyDescent="0.35">
      <c r="B15" s="8"/>
      <c r="C15" s="8"/>
      <c r="D15" s="8"/>
      <c r="E15" s="8"/>
      <c r="F15" s="8"/>
      <c r="G15" s="8"/>
      <c r="H15" s="8"/>
      <c r="I15" s="8"/>
      <c r="J15" s="8"/>
      <c r="K15" s="8"/>
      <c r="L15" s="8"/>
      <c r="M15" s="8"/>
      <c r="N15" s="8"/>
      <c r="O15" s="8"/>
      <c r="P15" s="8"/>
      <c r="Q15" s="8"/>
      <c r="R15" s="8"/>
      <c r="S15" s="8"/>
      <c r="T15" s="8"/>
      <c r="U15" s="8"/>
    </row>
    <row r="16" spans="2:21" x14ac:dyDescent="0.35">
      <c r="B16" s="8"/>
      <c r="C16" s="8"/>
      <c r="D16" s="8"/>
      <c r="E16" s="8"/>
      <c r="F16" s="8"/>
      <c r="G16" s="8"/>
      <c r="H16" s="8"/>
      <c r="I16" s="8"/>
      <c r="J16" s="8"/>
      <c r="K16" s="8"/>
      <c r="L16" s="8"/>
      <c r="M16" s="8"/>
      <c r="N16" s="8"/>
      <c r="O16" s="8"/>
      <c r="P16" s="8"/>
      <c r="Q16" s="8"/>
      <c r="R16" s="8"/>
      <c r="S16" s="8"/>
      <c r="T16" s="8"/>
      <c r="U16" s="8"/>
    </row>
    <row r="17" spans="2:21" x14ac:dyDescent="0.35">
      <c r="B17" s="8"/>
      <c r="C17" s="8"/>
      <c r="D17" s="8"/>
      <c r="E17" s="8"/>
      <c r="F17" s="8"/>
      <c r="G17" s="8"/>
      <c r="H17" s="8"/>
      <c r="I17" s="8"/>
      <c r="J17" s="8"/>
      <c r="K17" s="8"/>
      <c r="L17" s="8"/>
      <c r="M17" s="8"/>
      <c r="N17" s="8"/>
      <c r="O17" s="8"/>
      <c r="P17" s="8"/>
      <c r="Q17" s="8"/>
      <c r="R17" s="8"/>
      <c r="S17" s="8"/>
      <c r="T17" s="8"/>
      <c r="U17" s="8"/>
    </row>
    <row r="18" spans="2:21" x14ac:dyDescent="0.35">
      <c r="B18" s="8"/>
      <c r="C18" s="8"/>
      <c r="D18" s="8"/>
      <c r="E18" s="8"/>
      <c r="F18" s="8"/>
      <c r="G18" s="8"/>
      <c r="H18" s="8"/>
      <c r="I18" s="8"/>
      <c r="J18" s="8"/>
      <c r="K18" s="8"/>
      <c r="L18" s="8"/>
      <c r="M18" s="8"/>
      <c r="N18" s="8"/>
      <c r="O18" s="8"/>
      <c r="P18" s="8"/>
      <c r="Q18" s="8"/>
      <c r="R18" s="8"/>
      <c r="S18" s="8"/>
      <c r="T18" s="8"/>
      <c r="U18" s="8"/>
    </row>
    <row r="19" spans="2:21" x14ac:dyDescent="0.35">
      <c r="B19" s="8"/>
      <c r="C19" s="8"/>
      <c r="D19" s="8"/>
      <c r="E19" s="8"/>
      <c r="F19" s="8"/>
      <c r="G19" s="8"/>
      <c r="H19" s="8"/>
      <c r="I19" s="8"/>
      <c r="J19" s="8"/>
      <c r="K19" s="8"/>
      <c r="L19" s="8"/>
      <c r="M19" s="8"/>
      <c r="N19" s="8"/>
      <c r="O19" s="8"/>
      <c r="P19" s="8"/>
      <c r="Q19" s="8"/>
      <c r="R19" s="8"/>
      <c r="S19" s="8"/>
      <c r="T19" s="8"/>
      <c r="U19" s="8"/>
    </row>
    <row r="20" spans="2:21" x14ac:dyDescent="0.35">
      <c r="B20" s="8"/>
      <c r="C20" s="8"/>
      <c r="D20" s="8"/>
      <c r="E20" s="8"/>
      <c r="F20" s="8"/>
      <c r="G20" s="8"/>
      <c r="H20" s="8"/>
      <c r="I20" s="8"/>
      <c r="J20" s="8"/>
      <c r="K20" s="8"/>
      <c r="L20" s="8"/>
      <c r="M20" s="8"/>
      <c r="N20" s="8"/>
      <c r="O20" s="8"/>
      <c r="P20" s="8"/>
      <c r="Q20" s="8"/>
      <c r="R20" s="8"/>
      <c r="S20" s="8"/>
      <c r="T20" s="8"/>
      <c r="U20" s="8"/>
    </row>
    <row r="21" spans="2:21" x14ac:dyDescent="0.35">
      <c r="B21" s="8"/>
      <c r="C21" s="8"/>
      <c r="D21" s="8"/>
      <c r="E21" s="8"/>
      <c r="F21" s="8"/>
      <c r="G21" s="8"/>
      <c r="H21" s="8"/>
      <c r="I21" s="8"/>
      <c r="J21" s="8"/>
      <c r="K21" s="8"/>
      <c r="L21" s="8"/>
      <c r="M21" s="8"/>
      <c r="N21" s="8"/>
      <c r="O21" s="8"/>
      <c r="P21" s="8"/>
      <c r="Q21" s="8"/>
      <c r="R21" s="8"/>
      <c r="S21" s="8"/>
      <c r="T21" s="8"/>
      <c r="U21" s="8"/>
    </row>
    <row r="22" spans="2:21" x14ac:dyDescent="0.35">
      <c r="B22" s="8"/>
      <c r="C22" s="8"/>
      <c r="D22" s="8"/>
      <c r="E22" s="8"/>
      <c r="F22" s="8"/>
      <c r="G22" s="8"/>
      <c r="H22" s="8"/>
      <c r="I22" s="8"/>
      <c r="J22" s="8"/>
      <c r="K22" s="8"/>
      <c r="L22" s="8"/>
      <c r="M22" s="8"/>
      <c r="N22" s="8"/>
      <c r="O22" s="8"/>
      <c r="P22" s="8"/>
      <c r="Q22" s="8"/>
      <c r="R22" s="8"/>
      <c r="S22" s="8"/>
      <c r="T22" s="8"/>
      <c r="U22" s="8"/>
    </row>
    <row r="23" spans="2:21" x14ac:dyDescent="0.35">
      <c r="B23" s="8"/>
      <c r="C23" s="8"/>
      <c r="D23" s="8"/>
      <c r="E23" s="8"/>
      <c r="F23" s="8"/>
      <c r="G23" s="8"/>
      <c r="H23" s="8"/>
      <c r="I23" s="8"/>
      <c r="J23" s="8"/>
      <c r="K23" s="8"/>
      <c r="L23" s="8"/>
      <c r="M23" s="8"/>
      <c r="N23" s="8"/>
      <c r="O23" s="8"/>
      <c r="P23" s="8"/>
      <c r="Q23" s="8"/>
      <c r="R23" s="8"/>
      <c r="S23" s="8"/>
      <c r="T23" s="8"/>
      <c r="U23" s="8"/>
    </row>
    <row r="24" spans="2:21" x14ac:dyDescent="0.35">
      <c r="B24" s="8"/>
      <c r="C24" s="8"/>
      <c r="D24" s="8"/>
      <c r="E24" s="8"/>
      <c r="F24" s="8"/>
      <c r="G24" s="8"/>
      <c r="H24" s="8"/>
      <c r="I24" s="8"/>
      <c r="J24" s="8"/>
      <c r="K24" s="8"/>
      <c r="L24" s="8"/>
      <c r="M24" s="8"/>
      <c r="N24" s="8"/>
      <c r="O24" s="8"/>
      <c r="P24" s="8"/>
      <c r="Q24" s="8"/>
      <c r="R24" s="8"/>
      <c r="S24" s="8"/>
      <c r="T24" s="8"/>
      <c r="U24" s="8"/>
    </row>
    <row r="25" spans="2:21" x14ac:dyDescent="0.35">
      <c r="B25" s="8"/>
      <c r="C25" s="8"/>
      <c r="D25" s="8"/>
      <c r="E25" s="8"/>
      <c r="F25" s="8"/>
      <c r="G25" s="8"/>
      <c r="H25" s="8"/>
      <c r="I25" s="8"/>
      <c r="J25" s="8"/>
      <c r="K25" s="8"/>
      <c r="L25" s="8"/>
      <c r="M25" s="8"/>
      <c r="N25" s="8"/>
      <c r="O25" s="8"/>
      <c r="P25" s="8"/>
      <c r="Q25" s="8"/>
      <c r="R25" s="8"/>
      <c r="S25" s="8"/>
      <c r="T25" s="8"/>
      <c r="U25" s="8"/>
    </row>
    <row r="26" spans="2:21" x14ac:dyDescent="0.35">
      <c r="B26" s="8"/>
      <c r="C26" s="8"/>
      <c r="D26" s="8"/>
      <c r="E26" s="8"/>
      <c r="F26" s="8"/>
      <c r="G26" s="8"/>
      <c r="H26" s="8"/>
      <c r="I26" s="8"/>
      <c r="J26" s="8"/>
      <c r="K26" s="8"/>
      <c r="L26" s="8"/>
      <c r="M26" s="8"/>
      <c r="N26" s="8"/>
      <c r="O26" s="8"/>
      <c r="P26" s="8"/>
      <c r="Q26" s="8"/>
      <c r="R26" s="8"/>
      <c r="S26" s="8"/>
      <c r="T26" s="8"/>
      <c r="U26" s="8"/>
    </row>
  </sheetData>
  <mergeCells count="1">
    <mergeCell ref="B1:U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F384-54DE-45D5-A10A-47DE9536DC1F}">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94ACF-4BED-46D0-B271-575BD0C28BDA}">
  <dimension ref="A2:B15"/>
  <sheetViews>
    <sheetView workbookViewId="0">
      <selection activeCell="K13" sqref="K13"/>
    </sheetView>
  </sheetViews>
  <sheetFormatPr defaultRowHeight="14.5" x14ac:dyDescent="0.35"/>
  <cols>
    <col min="1" max="1" width="12.36328125" bestFit="1" customWidth="1"/>
    <col min="2" max="2" width="11.81640625" bestFit="1" customWidth="1"/>
  </cols>
  <sheetData>
    <row r="2" spans="1:2" x14ac:dyDescent="0.35">
      <c r="A2" s="4" t="s">
        <v>19</v>
      </c>
      <c r="B2" t="s">
        <v>21</v>
      </c>
    </row>
    <row r="3" spans="1:2" x14ac:dyDescent="0.35">
      <c r="A3" s="5" t="s">
        <v>3</v>
      </c>
      <c r="B3" s="10">
        <v>55000</v>
      </c>
    </row>
    <row r="4" spans="1:2" x14ac:dyDescent="0.35">
      <c r="A4" s="7" t="s">
        <v>9</v>
      </c>
      <c r="B4" s="10">
        <v>25000</v>
      </c>
    </row>
    <row r="5" spans="1:2" x14ac:dyDescent="0.35">
      <c r="A5" s="7" t="s">
        <v>8</v>
      </c>
      <c r="B5" s="10">
        <v>30000</v>
      </c>
    </row>
    <row r="6" spans="1:2" x14ac:dyDescent="0.35">
      <c r="A6" s="5" t="s">
        <v>4</v>
      </c>
      <c r="B6" s="10">
        <v>35000</v>
      </c>
    </row>
    <row r="7" spans="1:2" x14ac:dyDescent="0.35">
      <c r="A7" s="7" t="s">
        <v>9</v>
      </c>
      <c r="B7" s="10">
        <v>5000</v>
      </c>
    </row>
    <row r="8" spans="1:2" x14ac:dyDescent="0.35">
      <c r="A8" s="7" t="s">
        <v>8</v>
      </c>
      <c r="B8" s="10">
        <v>30000</v>
      </c>
    </row>
    <row r="9" spans="1:2" x14ac:dyDescent="0.35">
      <c r="A9" s="5" t="s">
        <v>5</v>
      </c>
      <c r="B9" s="10">
        <v>40000</v>
      </c>
    </row>
    <row r="10" spans="1:2" x14ac:dyDescent="0.35">
      <c r="A10" s="7" t="s">
        <v>9</v>
      </c>
      <c r="B10" s="10">
        <v>10000</v>
      </c>
    </row>
    <row r="11" spans="1:2" x14ac:dyDescent="0.35">
      <c r="A11" s="7" t="s">
        <v>8</v>
      </c>
      <c r="B11" s="10">
        <v>30000</v>
      </c>
    </row>
    <row r="12" spans="1:2" x14ac:dyDescent="0.35">
      <c r="A12" s="5" t="s">
        <v>6</v>
      </c>
      <c r="B12" s="10">
        <v>60000</v>
      </c>
    </row>
    <row r="13" spans="1:2" x14ac:dyDescent="0.35">
      <c r="A13" s="7" t="s">
        <v>9</v>
      </c>
      <c r="B13" s="10">
        <v>30000</v>
      </c>
    </row>
    <row r="14" spans="1:2" x14ac:dyDescent="0.35">
      <c r="A14" s="7" t="s">
        <v>8</v>
      </c>
      <c r="B14" s="10">
        <v>30000</v>
      </c>
    </row>
    <row r="15" spans="1:2" x14ac:dyDescent="0.35">
      <c r="A15" s="5" t="s">
        <v>20</v>
      </c>
      <c r="B15" s="10">
        <v>190000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4888-4BC6-4D16-87F2-612CDDB33486}">
  <dimension ref="A1:F11"/>
  <sheetViews>
    <sheetView workbookViewId="0">
      <selection activeCell="C7" sqref="C7"/>
    </sheetView>
  </sheetViews>
  <sheetFormatPr defaultRowHeight="14.5" x14ac:dyDescent="0.35"/>
  <cols>
    <col min="1" max="1" width="9.7265625" bestFit="1" customWidth="1"/>
    <col min="2" max="2" width="8.81640625" bestFit="1" customWidth="1"/>
    <col min="3" max="3" width="10.26953125" bestFit="1" customWidth="1"/>
    <col min="4" max="5" width="8.81640625" bestFit="1" customWidth="1"/>
    <col min="6" max="6" width="10.36328125" bestFit="1" customWidth="1"/>
  </cols>
  <sheetData>
    <row r="1" spans="1:6" x14ac:dyDescent="0.35">
      <c r="A1" s="9" t="s">
        <v>25</v>
      </c>
    </row>
    <row r="3" spans="1:6" x14ac:dyDescent="0.35">
      <c r="A3" t="s">
        <v>0</v>
      </c>
      <c r="B3" t="s">
        <v>7</v>
      </c>
      <c r="C3" t="s">
        <v>1</v>
      </c>
      <c r="D3" t="s">
        <v>2</v>
      </c>
      <c r="E3" t="s">
        <v>10</v>
      </c>
      <c r="F3" t="s">
        <v>11</v>
      </c>
    </row>
    <row r="4" spans="1:6" x14ac:dyDescent="0.35">
      <c r="A4" t="s">
        <v>3</v>
      </c>
      <c r="B4" t="s">
        <v>8</v>
      </c>
      <c r="C4">
        <v>100000</v>
      </c>
      <c r="D4">
        <v>70000</v>
      </c>
      <c r="E4">
        <v>30000</v>
      </c>
      <c r="F4">
        <v>0.3</v>
      </c>
    </row>
    <row r="5" spans="1:6" x14ac:dyDescent="0.35">
      <c r="A5" t="s">
        <v>3</v>
      </c>
      <c r="B5" t="s">
        <v>9</v>
      </c>
      <c r="C5">
        <v>110000</v>
      </c>
      <c r="D5">
        <v>85000</v>
      </c>
      <c r="E5">
        <v>25000</v>
      </c>
      <c r="F5">
        <v>0.22727272727272727</v>
      </c>
    </row>
    <row r="6" spans="1:6" x14ac:dyDescent="0.35">
      <c r="A6" t="s">
        <v>4</v>
      </c>
      <c r="B6" t="s">
        <v>8</v>
      </c>
      <c r="C6">
        <v>120000</v>
      </c>
      <c r="D6">
        <v>90000</v>
      </c>
      <c r="E6">
        <v>30000</v>
      </c>
      <c r="F6">
        <v>0.25</v>
      </c>
    </row>
    <row r="7" spans="1:6" x14ac:dyDescent="0.35">
      <c r="A7" t="s">
        <v>4</v>
      </c>
      <c r="B7" t="s">
        <v>9</v>
      </c>
      <c r="C7">
        <v>150000</v>
      </c>
      <c r="D7">
        <v>145000</v>
      </c>
      <c r="E7">
        <v>5000</v>
      </c>
      <c r="F7">
        <v>3.3333333333333333E-2</v>
      </c>
    </row>
    <row r="8" spans="1:6" x14ac:dyDescent="0.35">
      <c r="A8" t="s">
        <v>5</v>
      </c>
      <c r="B8" t="s">
        <v>8</v>
      </c>
      <c r="C8">
        <v>90000</v>
      </c>
      <c r="D8">
        <v>60000</v>
      </c>
      <c r="E8">
        <v>30000</v>
      </c>
      <c r="F8">
        <v>0.33333333333333331</v>
      </c>
    </row>
    <row r="9" spans="1:6" x14ac:dyDescent="0.35">
      <c r="A9" t="s">
        <v>5</v>
      </c>
      <c r="B9" t="s">
        <v>9</v>
      </c>
      <c r="C9">
        <v>95000</v>
      </c>
      <c r="D9">
        <v>85000</v>
      </c>
      <c r="E9">
        <v>10000</v>
      </c>
      <c r="F9">
        <v>0.10526315789473684</v>
      </c>
    </row>
    <row r="10" spans="1:6" x14ac:dyDescent="0.35">
      <c r="A10" t="s">
        <v>6</v>
      </c>
      <c r="B10" t="s">
        <v>8</v>
      </c>
      <c r="C10">
        <v>80000</v>
      </c>
      <c r="D10">
        <v>50000</v>
      </c>
      <c r="E10">
        <v>30000</v>
      </c>
      <c r="F10">
        <v>0.375</v>
      </c>
    </row>
    <row r="11" spans="1:6" x14ac:dyDescent="0.35">
      <c r="A11" t="s">
        <v>6</v>
      </c>
      <c r="B11" t="s">
        <v>9</v>
      </c>
      <c r="C11">
        <v>85000</v>
      </c>
      <c r="D11">
        <v>55000</v>
      </c>
      <c r="E11">
        <v>30000</v>
      </c>
      <c r="F11">
        <v>0.35294117647058826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D4F4-A3E2-4C69-84C5-C87861126540}">
  <dimension ref="A1:F12"/>
  <sheetViews>
    <sheetView workbookViewId="0">
      <selection activeCell="F13" sqref="F13"/>
    </sheetView>
  </sheetViews>
  <sheetFormatPr defaultRowHeight="14.5" x14ac:dyDescent="0.35"/>
  <cols>
    <col min="1" max="1" width="9.7265625" bestFit="1" customWidth="1"/>
    <col min="2" max="2" width="8.81640625" bestFit="1" customWidth="1"/>
    <col min="3" max="3" width="10.26953125" bestFit="1" customWidth="1"/>
    <col min="4" max="5" width="8.81640625" bestFit="1" customWidth="1"/>
    <col min="6" max="6" width="10.36328125" bestFit="1" customWidth="1"/>
  </cols>
  <sheetData>
    <row r="1" spans="1:6" x14ac:dyDescent="0.35">
      <c r="A1" s="9" t="s">
        <v>25</v>
      </c>
    </row>
    <row r="3" spans="1:6" x14ac:dyDescent="0.35">
      <c r="A3" t="s">
        <v>0</v>
      </c>
      <c r="B3" t="s">
        <v>7</v>
      </c>
      <c r="C3" t="s">
        <v>1</v>
      </c>
      <c r="D3" t="s">
        <v>2</v>
      </c>
      <c r="E3" t="s">
        <v>10</v>
      </c>
      <c r="F3" t="s">
        <v>11</v>
      </c>
    </row>
    <row r="4" spans="1:6" x14ac:dyDescent="0.35">
      <c r="A4" t="s">
        <v>3</v>
      </c>
      <c r="B4" t="s">
        <v>8</v>
      </c>
      <c r="C4">
        <v>100000</v>
      </c>
      <c r="D4">
        <v>70000</v>
      </c>
      <c r="E4">
        <v>30000</v>
      </c>
      <c r="F4">
        <f>Table4[[#This Row],[profit]]/Table4[[#This Row],[Revenue]]</f>
        <v>0.3</v>
      </c>
    </row>
    <row r="5" spans="1:6" x14ac:dyDescent="0.35">
      <c r="A5" t="s">
        <v>3</v>
      </c>
      <c r="B5" t="s">
        <v>9</v>
      </c>
      <c r="C5">
        <v>110000</v>
      </c>
      <c r="D5">
        <v>85000</v>
      </c>
      <c r="E5">
        <v>25000</v>
      </c>
      <c r="F5">
        <f>Table4[[#This Row],[profit]]/Table4[[#This Row],[Revenue]]</f>
        <v>0.22727272727272727</v>
      </c>
    </row>
    <row r="6" spans="1:6" x14ac:dyDescent="0.35">
      <c r="A6" t="s">
        <v>4</v>
      </c>
      <c r="B6" t="s">
        <v>8</v>
      </c>
      <c r="C6">
        <v>120000</v>
      </c>
      <c r="D6">
        <v>90000</v>
      </c>
      <c r="E6">
        <v>30000</v>
      </c>
      <c r="F6">
        <f>Table4[[#This Row],[profit]]/Table4[[#This Row],[Revenue]]</f>
        <v>0.25</v>
      </c>
    </row>
    <row r="7" spans="1:6" x14ac:dyDescent="0.35">
      <c r="A7" t="s">
        <v>4</v>
      </c>
      <c r="B7" t="s">
        <v>9</v>
      </c>
      <c r="C7">
        <v>150000</v>
      </c>
      <c r="D7">
        <v>145000</v>
      </c>
      <c r="E7">
        <v>5000</v>
      </c>
      <c r="F7">
        <f>Table4[[#This Row],[profit]]/Table4[[#This Row],[Revenue]]</f>
        <v>3.3333333333333333E-2</v>
      </c>
    </row>
    <row r="8" spans="1:6" x14ac:dyDescent="0.35">
      <c r="A8" t="s">
        <v>5</v>
      </c>
      <c r="B8" t="s">
        <v>8</v>
      </c>
      <c r="C8">
        <v>90000</v>
      </c>
      <c r="D8">
        <v>60000</v>
      </c>
      <c r="E8">
        <v>30000</v>
      </c>
      <c r="F8">
        <f>Table4[[#This Row],[profit]]/Table4[[#This Row],[Revenue]]</f>
        <v>0.33333333333333331</v>
      </c>
    </row>
    <row r="9" spans="1:6" x14ac:dyDescent="0.35">
      <c r="A9" t="s">
        <v>5</v>
      </c>
      <c r="B9" t="s">
        <v>9</v>
      </c>
      <c r="C9">
        <v>95000</v>
      </c>
      <c r="D9">
        <v>85000</v>
      </c>
      <c r="E9">
        <v>10000</v>
      </c>
      <c r="F9">
        <f>Table4[[#This Row],[profit]]/Table4[[#This Row],[Revenue]]</f>
        <v>0.10526315789473684</v>
      </c>
    </row>
    <row r="10" spans="1:6" x14ac:dyDescent="0.35">
      <c r="A10" t="s">
        <v>6</v>
      </c>
      <c r="B10" t="s">
        <v>8</v>
      </c>
      <c r="C10">
        <v>80000</v>
      </c>
      <c r="D10">
        <v>50000</v>
      </c>
      <c r="E10">
        <v>30000</v>
      </c>
      <c r="F10">
        <f>Table4[[#This Row],[profit]]/Table4[[#This Row],[Revenue]]</f>
        <v>0.375</v>
      </c>
    </row>
    <row r="11" spans="1:6" x14ac:dyDescent="0.35">
      <c r="A11" t="s">
        <v>6</v>
      </c>
      <c r="B11" t="s">
        <v>9</v>
      </c>
      <c r="C11">
        <v>85000</v>
      </c>
      <c r="D11">
        <v>55000</v>
      </c>
      <c r="E11">
        <v>30000</v>
      </c>
      <c r="F11">
        <f>Table4[[#This Row],[profit]]/Table4[[#This Row],[Revenue]]</f>
        <v>0.35294117647058826</v>
      </c>
    </row>
    <row r="12" spans="1:6" x14ac:dyDescent="0.35">
      <c r="F12">
        <f>AVERAGE(Table4[margin%])</f>
        <v>0.24714296603808988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3282-1239-4CDA-8575-C1DA69DC5339}">
  <dimension ref="A2:B11"/>
  <sheetViews>
    <sheetView workbookViewId="0">
      <selection activeCell="C8" sqref="C8"/>
    </sheetView>
  </sheetViews>
  <sheetFormatPr defaultRowHeight="14.5" x14ac:dyDescent="0.35"/>
  <cols>
    <col min="1" max="1" width="11.81640625" bestFit="1" customWidth="1"/>
    <col min="2" max="2" width="17.6328125" bestFit="1" customWidth="1"/>
  </cols>
  <sheetData>
    <row r="2" spans="1:2" x14ac:dyDescent="0.35">
      <c r="A2" t="s">
        <v>23</v>
      </c>
    </row>
    <row r="3" spans="1:2" x14ac:dyDescent="0.35">
      <c r="A3" s="6">
        <v>830000</v>
      </c>
    </row>
    <row r="6" spans="1:2" x14ac:dyDescent="0.35">
      <c r="A6" t="s">
        <v>21</v>
      </c>
      <c r="B6" t="s">
        <v>22</v>
      </c>
    </row>
    <row r="7" spans="1:2" x14ac:dyDescent="0.35">
      <c r="A7" s="6">
        <v>190000</v>
      </c>
      <c r="B7" s="3">
        <v>0.24714296603808988</v>
      </c>
    </row>
    <row r="10" spans="1:2" x14ac:dyDescent="0.35">
      <c r="A10" t="s">
        <v>24</v>
      </c>
    </row>
    <row r="11" spans="1:2" x14ac:dyDescent="0.35">
      <c r="A11" s="6">
        <v>-50000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072B-4415-4CFD-A8D7-6C15C4419D2D}">
  <dimension ref="A3:A4"/>
  <sheetViews>
    <sheetView workbookViewId="0">
      <selection activeCell="A4" sqref="A4"/>
    </sheetView>
  </sheetViews>
  <sheetFormatPr defaultRowHeight="14.5" x14ac:dyDescent="0.35"/>
  <cols>
    <col min="1" max="1" width="12" bestFit="1" customWidth="1"/>
  </cols>
  <sheetData>
    <row r="3" spans="1:1" x14ac:dyDescent="0.35">
      <c r="A3" t="s">
        <v>26</v>
      </c>
    </row>
    <row r="4" spans="1:1" x14ac:dyDescent="0.35">
      <c r="A4" s="3">
        <v>0.2289156626506024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2FB4-9646-4DAA-A0B7-2B4B2F77AED8}">
  <dimension ref="A1:F9"/>
  <sheetViews>
    <sheetView tabSelected="1" workbookViewId="0">
      <selection sqref="A1:F9"/>
    </sheetView>
  </sheetViews>
  <sheetFormatPr defaultRowHeight="14.5" x14ac:dyDescent="0.35"/>
  <cols>
    <col min="1" max="1" width="9.453125" customWidth="1"/>
    <col min="3" max="3" width="10" customWidth="1"/>
    <col min="5" max="5" width="11.81640625" bestFit="1" customWidth="1"/>
    <col min="6" max="6" width="10.08984375" customWidth="1"/>
  </cols>
  <sheetData>
    <row r="1" spans="1:6" x14ac:dyDescent="0.35">
      <c r="A1" s="1" t="s">
        <v>0</v>
      </c>
      <c r="B1" s="1" t="s">
        <v>7</v>
      </c>
      <c r="C1" s="1" t="s">
        <v>1</v>
      </c>
      <c r="D1" s="1" t="s">
        <v>2</v>
      </c>
      <c r="E1" s="1" t="s">
        <v>10</v>
      </c>
      <c r="F1" s="1" t="s">
        <v>11</v>
      </c>
    </row>
    <row r="2" spans="1:6" x14ac:dyDescent="0.35">
      <c r="A2" s="2" t="s">
        <v>3</v>
      </c>
      <c r="B2" s="2" t="s">
        <v>8</v>
      </c>
      <c r="C2" s="2">
        <v>100000</v>
      </c>
      <c r="D2" s="2">
        <v>70000</v>
      </c>
      <c r="E2" s="2">
        <f>C2-D2</f>
        <v>30000</v>
      </c>
      <c r="F2" s="3">
        <f>E2/C2</f>
        <v>0.3</v>
      </c>
    </row>
    <row r="3" spans="1:6" x14ac:dyDescent="0.35">
      <c r="A3" s="2" t="s">
        <v>3</v>
      </c>
      <c r="B3" s="2" t="s">
        <v>9</v>
      </c>
      <c r="C3" s="2">
        <v>110000</v>
      </c>
      <c r="D3" s="2">
        <v>85000</v>
      </c>
      <c r="E3" s="2">
        <f t="shared" ref="E3:E9" si="0">C3-D3</f>
        <v>25000</v>
      </c>
      <c r="F3" s="3">
        <f t="shared" ref="F3:F9" si="1">E3/C3</f>
        <v>0.22727272727272727</v>
      </c>
    </row>
    <row r="4" spans="1:6" x14ac:dyDescent="0.35">
      <c r="A4" s="2" t="s">
        <v>4</v>
      </c>
      <c r="B4" s="2" t="s">
        <v>8</v>
      </c>
      <c r="C4" s="2">
        <v>120000</v>
      </c>
      <c r="D4" s="2">
        <v>90000</v>
      </c>
      <c r="E4" s="2">
        <f t="shared" si="0"/>
        <v>30000</v>
      </c>
      <c r="F4" s="3">
        <f t="shared" si="1"/>
        <v>0.25</v>
      </c>
    </row>
    <row r="5" spans="1:6" x14ac:dyDescent="0.35">
      <c r="A5" s="2" t="s">
        <v>4</v>
      </c>
      <c r="B5" s="2" t="s">
        <v>9</v>
      </c>
      <c r="C5" s="2">
        <v>150000</v>
      </c>
      <c r="D5" s="2">
        <v>145000</v>
      </c>
      <c r="E5" s="2">
        <f t="shared" si="0"/>
        <v>5000</v>
      </c>
      <c r="F5" s="3">
        <f t="shared" si="1"/>
        <v>3.3333333333333333E-2</v>
      </c>
    </row>
    <row r="6" spans="1:6" x14ac:dyDescent="0.35">
      <c r="A6" s="2" t="s">
        <v>5</v>
      </c>
      <c r="B6" s="2" t="s">
        <v>8</v>
      </c>
      <c r="C6" s="2">
        <v>90000</v>
      </c>
      <c r="D6" s="2">
        <v>60000</v>
      </c>
      <c r="E6" s="2">
        <f t="shared" si="0"/>
        <v>30000</v>
      </c>
      <c r="F6" s="3">
        <f t="shared" si="1"/>
        <v>0.33333333333333331</v>
      </c>
    </row>
    <row r="7" spans="1:6" x14ac:dyDescent="0.35">
      <c r="A7" s="2" t="s">
        <v>5</v>
      </c>
      <c r="B7" s="2" t="s">
        <v>9</v>
      </c>
      <c r="C7" s="2">
        <v>95000</v>
      </c>
      <c r="D7" s="2">
        <v>85000</v>
      </c>
      <c r="E7" s="2">
        <f t="shared" si="0"/>
        <v>10000</v>
      </c>
      <c r="F7" s="3">
        <f t="shared" si="1"/>
        <v>0.10526315789473684</v>
      </c>
    </row>
    <row r="8" spans="1:6" x14ac:dyDescent="0.35">
      <c r="A8" s="2" t="s">
        <v>6</v>
      </c>
      <c r="B8" s="2" t="s">
        <v>8</v>
      </c>
      <c r="C8" s="2">
        <v>80000</v>
      </c>
      <c r="D8" s="2">
        <v>50000</v>
      </c>
      <c r="E8" s="2">
        <f t="shared" si="0"/>
        <v>30000</v>
      </c>
      <c r="F8" s="3">
        <f t="shared" si="1"/>
        <v>0.375</v>
      </c>
    </row>
    <row r="9" spans="1:6" x14ac:dyDescent="0.35">
      <c r="A9" s="2" t="s">
        <v>6</v>
      </c>
      <c r="B9" s="2" t="s">
        <v>9</v>
      </c>
      <c r="C9" s="2">
        <v>85000</v>
      </c>
      <c r="D9" s="2">
        <v>55000</v>
      </c>
      <c r="E9" s="2">
        <f t="shared" si="0"/>
        <v>30000</v>
      </c>
      <c r="F9" s="3">
        <f t="shared" si="1"/>
        <v>0.35294117647058826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63CA-F84E-4045-92CF-5E5DBF892312}">
  <dimension ref="A1:H5"/>
  <sheetViews>
    <sheetView workbookViewId="0">
      <selection sqref="A1:H5"/>
    </sheetView>
  </sheetViews>
  <sheetFormatPr defaultRowHeight="14.5" x14ac:dyDescent="0.35"/>
  <cols>
    <col min="1" max="1" width="9.453125" customWidth="1"/>
    <col min="2" max="2" width="13.36328125" customWidth="1"/>
    <col min="3" max="3" width="14.1796875" customWidth="1"/>
    <col min="4" max="4" width="16.6328125" customWidth="1"/>
    <col min="5" max="5" width="9.90625" customWidth="1"/>
    <col min="6" max="6" width="10.7265625" customWidth="1"/>
    <col min="7" max="7" width="13.1796875" customWidth="1"/>
    <col min="8" max="8" width="14.1796875" customWidth="1"/>
  </cols>
  <sheetData>
    <row r="1" spans="1:8" ht="29" x14ac:dyDescent="0.35">
      <c r="A1" s="1" t="s">
        <v>0</v>
      </c>
      <c r="B1" s="1" t="s">
        <v>12</v>
      </c>
      <c r="C1" s="1" t="s">
        <v>13</v>
      </c>
      <c r="D1" s="1" t="s">
        <v>14</v>
      </c>
      <c r="E1" s="1" t="s">
        <v>15</v>
      </c>
      <c r="F1" s="1" t="s">
        <v>16</v>
      </c>
      <c r="G1" s="1" t="s">
        <v>17</v>
      </c>
      <c r="H1" s="1" t="s">
        <v>18</v>
      </c>
    </row>
    <row r="2" spans="1:8" x14ac:dyDescent="0.35">
      <c r="A2" t="s">
        <v>3</v>
      </c>
      <c r="B2" s="2">
        <v>100000</v>
      </c>
      <c r="C2" s="2">
        <v>110000</v>
      </c>
      <c r="D2">
        <f>C2-B2</f>
        <v>10000</v>
      </c>
      <c r="E2" s="2">
        <v>70000</v>
      </c>
      <c r="F2" s="2">
        <v>85000</v>
      </c>
      <c r="G2">
        <f>F2-E2</f>
        <v>15000</v>
      </c>
      <c r="H2">
        <f>(C2-F2)-(B2-E2)</f>
        <v>-5000</v>
      </c>
    </row>
    <row r="3" spans="1:8" x14ac:dyDescent="0.35">
      <c r="A3" t="s">
        <v>4</v>
      </c>
      <c r="B3" s="2">
        <v>120000</v>
      </c>
      <c r="C3" s="2">
        <v>150000</v>
      </c>
      <c r="D3">
        <f t="shared" ref="D3:D5" si="0">C3-B3</f>
        <v>30000</v>
      </c>
      <c r="E3" s="2">
        <v>90000</v>
      </c>
      <c r="F3" s="2">
        <v>145000</v>
      </c>
      <c r="G3">
        <f t="shared" ref="G3:G5" si="1">F3-E3</f>
        <v>55000</v>
      </c>
      <c r="H3">
        <f t="shared" ref="H3:H5" si="2">(C3-F3)-(B3-E3)</f>
        <v>-25000</v>
      </c>
    </row>
    <row r="4" spans="1:8" x14ac:dyDescent="0.35">
      <c r="A4" t="s">
        <v>5</v>
      </c>
      <c r="B4" s="2">
        <v>90000</v>
      </c>
      <c r="C4" s="2">
        <v>95000</v>
      </c>
      <c r="D4">
        <f t="shared" si="0"/>
        <v>5000</v>
      </c>
      <c r="E4" s="2">
        <v>60000</v>
      </c>
      <c r="F4" s="2">
        <v>85000</v>
      </c>
      <c r="G4">
        <f t="shared" si="1"/>
        <v>25000</v>
      </c>
      <c r="H4">
        <f t="shared" si="2"/>
        <v>-20000</v>
      </c>
    </row>
    <row r="5" spans="1:8" x14ac:dyDescent="0.35">
      <c r="A5" t="s">
        <v>6</v>
      </c>
      <c r="B5" s="2">
        <v>80000</v>
      </c>
      <c r="C5" s="2">
        <v>85000</v>
      </c>
      <c r="D5">
        <f t="shared" si="0"/>
        <v>5000</v>
      </c>
      <c r="E5" s="2">
        <v>50000</v>
      </c>
      <c r="F5" s="2">
        <v>55000</v>
      </c>
      <c r="G5">
        <f t="shared" si="1"/>
        <v>5000</v>
      </c>
      <c r="H5">
        <f t="shared" si="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Profit by Product</vt:lpstr>
      <vt:lpstr>Margin % by Product</vt:lpstr>
      <vt:lpstr>Profit Change</vt:lpstr>
      <vt:lpstr>DASHBOARD</vt:lpstr>
      <vt:lpstr>Sheet4</vt:lpstr>
      <vt:lpstr>Sheet1</vt:lpstr>
      <vt:lpstr>Detail1</vt:lpstr>
      <vt:lpstr>Detail2</vt:lpstr>
      <vt:lpstr>kpi vALUES</vt:lpstr>
      <vt:lpstr>Sheet3</vt:lpstr>
      <vt:lpstr>Data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alluri dedeepya</dc:creator>
  <cp:lastModifiedBy>alluri dedeepya</cp:lastModifiedBy>
  <dcterms:created xsi:type="dcterms:W3CDTF">2026-05-05T10:31:41Z</dcterms:created>
  <dcterms:modified xsi:type="dcterms:W3CDTF">2026-10-04T14:25:31Z</dcterms:modified>
</cp:coreProperties>
</file>